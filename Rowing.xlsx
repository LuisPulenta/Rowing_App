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utter\rowing_app\"/>
    </mc:Choice>
  </mc:AlternateContent>
  <xr:revisionPtr revIDLastSave="0" documentId="13_ncr:1_{03F848B5-55C9-4145-ADB6-D709E768FFCE}" xr6:coauthVersionLast="47" xr6:coauthVersionMax="47" xr10:uidLastSave="{00000000-0000-0000-0000-000000000000}"/>
  <bookViews>
    <workbookView xWindow="-108" yWindow="-108" windowWidth="23256" windowHeight="12576" xr2:uid="{98999F70-D1D4-4A66-BAFC-041518B5B1BB}"/>
  </bookViews>
  <sheets>
    <sheet name="Hoja1" sheetId="1" r:id="rId1"/>
    <sheet name="Hoja2" sheetId="2" r:id="rId2"/>
    <sheet name="Hoja3" sheetId="3" r:id="rId3"/>
    <sheet name="Hoja4" sheetId="4" r:id="rId4"/>
    <sheet name="Reclamos" sheetId="5" r:id="rId5"/>
    <sheet name="Flutte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3" i="2" l="1" a="1"/>
  <c r="A43" i="2" s="1"/>
  <c r="A50" i="2" a="1"/>
  <c r="A50" i="2" s="1"/>
  <c r="A51" i="2" a="1"/>
  <c r="A5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<sst xmlns="http://schemas.openxmlformats.org/spreadsheetml/2006/main" count="805" uniqueCount="521">
  <si>
    <t>Rowing</t>
  </si>
  <si>
    <t>Tabla USUARIOS</t>
  </si>
  <si>
    <t>AutorWOM</t>
  </si>
  <si>
    <t>Login</t>
  </si>
  <si>
    <t>Contrasena</t>
  </si>
  <si>
    <t>Estado</t>
  </si>
  <si>
    <t>Fotos Obras</t>
  </si>
  <si>
    <t>Fotos WOM (Fotos Medidores)</t>
  </si>
  <si>
    <t>ObrasDocumentos</t>
  </si>
  <si>
    <t>ObrasDotos</t>
  </si>
  <si>
    <t>LINK</t>
  </si>
  <si>
    <t>select NroObra,NombreObra,ELEMPEP As 'NroSigest' from Obras WHERE Finalizada=0 AND Modulo='Rowing' AND GrupoAlmacen&lt;&gt;'' AND GrupoCausante&lt;&gt;'' AND SUPERVISORE&lt;&gt;'Sin Asignar' AND CodigoEstado&lt;&gt;'TE'</t>
  </si>
  <si>
    <t>Servidor</t>
  </si>
  <si>
    <t>190.111.249.225</t>
  </si>
  <si>
    <t>Password</t>
  </si>
  <si>
    <t>gaos</t>
  </si>
  <si>
    <t>ezn2018$bs4s</t>
  </si>
  <si>
    <t>Nombre de la Empresa:</t>
  </si>
  <si>
    <t>Condiciones:</t>
  </si>
  <si>
    <t>Nombre</t>
  </si>
  <si>
    <t>Apellido</t>
  </si>
  <si>
    <t>AVASILE</t>
  </si>
  <si>
    <t>AVA123</t>
  </si>
  <si>
    <t xml:space="preserve">ALAN </t>
  </si>
  <si>
    <t>VASILE</t>
  </si>
  <si>
    <t>CHIDALGO</t>
  </si>
  <si>
    <t>CHI123</t>
  </si>
  <si>
    <t xml:space="preserve">CHANTAL </t>
  </si>
  <si>
    <t>HIDALGO</t>
  </si>
  <si>
    <t>DDULAC</t>
  </si>
  <si>
    <t>DAI123</t>
  </si>
  <si>
    <t xml:space="preserve">DAIANA </t>
  </si>
  <si>
    <t>DULAC</t>
  </si>
  <si>
    <t>LLOIACONO</t>
  </si>
  <si>
    <t>LEILA123</t>
  </si>
  <si>
    <t xml:space="preserve">LEILA </t>
  </si>
  <si>
    <t>LOIACONO</t>
  </si>
  <si>
    <t>MCANIZA</t>
  </si>
  <si>
    <t xml:space="preserve">MAURICIO </t>
  </si>
  <si>
    <t>CANIZA</t>
  </si>
  <si>
    <t>MMARTINEZ</t>
  </si>
  <si>
    <t>MMA123</t>
  </si>
  <si>
    <t xml:space="preserve">MATIAS </t>
  </si>
  <si>
    <t xml:space="preserve">MARTINEZ </t>
  </si>
  <si>
    <t>MNAKAMURA</t>
  </si>
  <si>
    <t xml:space="preserve">MICAELA </t>
  </si>
  <si>
    <t xml:space="preserve">NAKAMURA </t>
  </si>
  <si>
    <t>SABALLE</t>
  </si>
  <si>
    <t>SILVANA</t>
  </si>
  <si>
    <t xml:space="preserve">SILVANA </t>
  </si>
  <si>
    <t xml:space="preserve">ABALLE </t>
  </si>
  <si>
    <t>SAREVALO</t>
  </si>
  <si>
    <t>BLANKO11</t>
  </si>
  <si>
    <t xml:space="preserve">SEBASTIAN </t>
  </si>
  <si>
    <t>AREVALO</t>
  </si>
  <si>
    <t>NCENA</t>
  </si>
  <si>
    <t>NCE123</t>
  </si>
  <si>
    <t>Nahuel</t>
  </si>
  <si>
    <t>Cena</t>
  </si>
  <si>
    <t>NESCOBAR</t>
  </si>
  <si>
    <t>OSOTOGARI</t>
  </si>
  <si>
    <t xml:space="preserve">NAHUEL </t>
  </si>
  <si>
    <t>ESCOBAR</t>
  </si>
  <si>
    <t>JRODRI</t>
  </si>
  <si>
    <t>ROD123</t>
  </si>
  <si>
    <t xml:space="preserve">JOHANA </t>
  </si>
  <si>
    <t>RODRIGUEZ</t>
  </si>
  <si>
    <t>BREAMA</t>
  </si>
  <si>
    <t>BRE123</t>
  </si>
  <si>
    <t xml:space="preserve">BRENDA </t>
  </si>
  <si>
    <t>AMAYA</t>
  </si>
  <si>
    <t>NCERDA</t>
  </si>
  <si>
    <t>CER123</t>
  </si>
  <si>
    <t>CERDA</t>
  </si>
  <si>
    <t>FLOCUE</t>
  </si>
  <si>
    <t>CUE123</t>
  </si>
  <si>
    <t xml:space="preserve">FLORENCIA </t>
  </si>
  <si>
    <t>CUELLAR</t>
  </si>
  <si>
    <t>SANBER</t>
  </si>
  <si>
    <t>BER123</t>
  </si>
  <si>
    <t>SANDRA</t>
  </si>
  <si>
    <t>BERTEVICH</t>
  </si>
  <si>
    <t xml:space="preserve">select NroObra,NombreObra,ELEMPEP,Finalizada,Modulo,GrupoAlmacen,GrupoCausante,SUPERVISORE,CodigoEstado As 'NroSigest' </t>
  </si>
  <si>
    <t xml:space="preserve">from Obras </t>
  </si>
  <si>
    <t xml:space="preserve">WHERE Finalizada=0 </t>
  </si>
  <si>
    <t xml:space="preserve">AND Modulo='Rowing' </t>
  </si>
  <si>
    <t>AND (GrupoAlmacen&lt;&gt;'' OR GrupoAlmacen IS NULL)</t>
  </si>
  <si>
    <t>AND (GrupoCausante&lt;&gt;'' OR GrupoCausante IS NULL)</t>
  </si>
  <si>
    <t xml:space="preserve">AND SUPERVISORE&lt;&gt;'Sin Asignar' </t>
  </si>
  <si>
    <t>AND CodigoEstado&lt;&gt;'TE'</t>
  </si>
  <si>
    <t>ORDER BY NroObra</t>
  </si>
  <si>
    <t>WHERE NroObra=35767 or NroObra=35768</t>
  </si>
  <si>
    <t>select SUPERVISORE</t>
  </si>
  <si>
    <t>GROUP BY SUPERVISORE</t>
  </si>
  <si>
    <t>ORDER BY SUPERVISORE</t>
  </si>
  <si>
    <t>Fotos</t>
  </si>
  <si>
    <t>Talleres, River y Boca</t>
  </si>
  <si>
    <t>Independiente y Racing</t>
  </si>
  <si>
    <t>San Lorenzo</t>
  </si>
  <si>
    <t>NROREGISTRO</t>
  </si>
  <si>
    <t>NROOBRA</t>
  </si>
  <si>
    <t>OBSERVACION</t>
  </si>
  <si>
    <t>FECHA</t>
  </si>
  <si>
    <t>MODULO</t>
  </si>
  <si>
    <t>NroLote</t>
  </si>
  <si>
    <t>Sector</t>
  </si>
  <si>
    <t>Estante</t>
  </si>
  <si>
    <t>GeneradoPor</t>
  </si>
  <si>
    <t>Latitud</t>
  </si>
  <si>
    <t>Longitud</t>
  </si>
  <si>
    <t>FechaHsFoto</t>
  </si>
  <si>
    <t>TipoDeFoto</t>
  </si>
  <si>
    <t>DireccionFoto</t>
  </si>
  <si>
    <t>Capital</t>
  </si>
  <si>
    <t>ObrasTasa</t>
  </si>
  <si>
    <t>Oficina tec.</t>
  </si>
  <si>
    <t>Fadoming</t>
  </si>
  <si>
    <t>NULL</t>
  </si>
  <si>
    <t>Previa al trabajo</t>
  </si>
  <si>
    <t>Durante el trabajo</t>
  </si>
  <si>
    <t>~/images/Obras/bf56122f-e308-45f3-8697-7b114298a235.jpg</t>
  </si>
  <si>
    <t>App</t>
  </si>
  <si>
    <t>ALAN  VASILE</t>
  </si>
  <si>
    <t>~/images/Obras/32fd6a7e-0ab4-4d0a-85f8-cb3af6fbd274.jpg</t>
  </si>
  <si>
    <t>~/images/Obras/144b2fc4-e7e3-425d-88d3-692c422df994.jpg</t>
  </si>
  <si>
    <t>Traer del campo Observaciones de la obra</t>
  </si>
  <si>
    <t>Traer del campo Modulo de la obra</t>
  </si>
  <si>
    <t>NroObra</t>
  </si>
  <si>
    <t>NombreObra</t>
  </si>
  <si>
    <t>Centro</t>
  </si>
  <si>
    <t>NroOE</t>
  </si>
  <si>
    <t>DefProy</t>
  </si>
  <si>
    <t>Central</t>
  </si>
  <si>
    <t>Zona</t>
  </si>
  <si>
    <t>Planos</t>
  </si>
  <si>
    <t>Sobrestante</t>
  </si>
  <si>
    <t>Importe</t>
  </si>
  <si>
    <t>ReferenciaExterna</t>
  </si>
  <si>
    <t>Finalizada</t>
  </si>
  <si>
    <t>FECHAFINALIZADA</t>
  </si>
  <si>
    <t>CODIGO103</t>
  </si>
  <si>
    <t>CODIGO104</t>
  </si>
  <si>
    <t>CODIGO105</t>
  </si>
  <si>
    <t>CODIGO106</t>
  </si>
  <si>
    <t>ULTIMAACTA</t>
  </si>
  <si>
    <t>CERTIFICAOBRA</t>
  </si>
  <si>
    <t>TotalPuntosFibra</t>
  </si>
  <si>
    <t>TotalPuntosCable</t>
  </si>
  <si>
    <t>TotalPuntosCivil</t>
  </si>
  <si>
    <t>TotalPuntosRed</t>
  </si>
  <si>
    <t>DESACTIVARMATERIAL</t>
  </si>
  <si>
    <t>SUPERVISORE</t>
  </si>
  <si>
    <t>OBSERVACIONES</t>
  </si>
  <si>
    <t>CERTIFTOTALPUNTOSFIBRA</t>
  </si>
  <si>
    <t>CERTIFTOTALPUNTOSCABLE</t>
  </si>
  <si>
    <t>CERTIFTOTALPUNTOSCIVIL</t>
  </si>
  <si>
    <t>CERTIFTOTALPUNTOSRED</t>
  </si>
  <si>
    <t>ADICTOTALPUNTOSFIBRA</t>
  </si>
  <si>
    <t>ADICTOTALPUNTOSCABLE</t>
  </si>
  <si>
    <t>ADICTOTALPUNTOSCIVIL</t>
  </si>
  <si>
    <t>ADICTOTALPUNTOSRED</t>
  </si>
  <si>
    <t>GRAFOS</t>
  </si>
  <si>
    <t>CLASIFICACION</t>
  </si>
  <si>
    <t>CENCODPROCESADOR</t>
  </si>
  <si>
    <t>FECHAINICIO</t>
  </si>
  <si>
    <t>PLANOAPROBADO</t>
  </si>
  <si>
    <t>CONFORMEOBRA</t>
  </si>
  <si>
    <t>FECHAOE</t>
  </si>
  <si>
    <t>PAGOSFIBRA</t>
  </si>
  <si>
    <t>PAGOSCABLE</t>
  </si>
  <si>
    <t>PAGOSCIVIL</t>
  </si>
  <si>
    <t>PAGOSRED</t>
  </si>
  <si>
    <t>CORRESPONDEABONADOS</t>
  </si>
  <si>
    <t>IDCONTRATO</t>
  </si>
  <si>
    <t>TOTALPUNTOSINGE</t>
  </si>
  <si>
    <t>CERTIFTOTALPUNTOSINGE</t>
  </si>
  <si>
    <t>ADICFTOTALPUNTOSINGE</t>
  </si>
  <si>
    <t>PAGOSINGE</t>
  </si>
  <si>
    <t>DOBLECIERRE</t>
  </si>
  <si>
    <t>TIPO</t>
  </si>
  <si>
    <t>FECHAFINPLANIFICADA</t>
  </si>
  <si>
    <t>SUBCONASIGNADA</t>
  </si>
  <si>
    <t>FECHAFINOPERATIVA</t>
  </si>
  <si>
    <t>FECHAEXPLOTACION</t>
  </si>
  <si>
    <t>NROORDTECO</t>
  </si>
  <si>
    <t>VENCCAO</t>
  </si>
  <si>
    <t>VENCSIPA</t>
  </si>
  <si>
    <t>NOS</t>
  </si>
  <si>
    <t>TAG</t>
  </si>
  <si>
    <t>ELEMPEP</t>
  </si>
  <si>
    <t>VALORFO</t>
  </si>
  <si>
    <t>VALORCA</t>
  </si>
  <si>
    <t>VALORCI</t>
  </si>
  <si>
    <t>VALORRD</t>
  </si>
  <si>
    <t>VALORIN</t>
  </si>
  <si>
    <t>GRAFO</t>
  </si>
  <si>
    <t>HABILITARFONDOREPARO</t>
  </si>
  <si>
    <t>CODPROCESADOR</t>
  </si>
  <si>
    <t>Clase</t>
  </si>
  <si>
    <t>ImporteOE</t>
  </si>
  <si>
    <t>ValorTotalC</t>
  </si>
  <si>
    <t>ValorTotalT</t>
  </si>
  <si>
    <t>VT</t>
  </si>
  <si>
    <t>CodigoEstado</t>
  </si>
  <si>
    <t>CodigoSubEstado</t>
  </si>
  <si>
    <t>MPM</t>
  </si>
  <si>
    <t>Balance</t>
  </si>
  <si>
    <t>HabilitaFR</t>
  </si>
  <si>
    <t>AvisoMulta</t>
  </si>
  <si>
    <t>FechaPermisoProgramado</t>
  </si>
  <si>
    <t>FechaPermisoEfectivo</t>
  </si>
  <si>
    <t>PorcAvance</t>
  </si>
  <si>
    <t>BalanceSubCon</t>
  </si>
  <si>
    <t>Modulo</t>
  </si>
  <si>
    <t>Mac</t>
  </si>
  <si>
    <t>Sac</t>
  </si>
  <si>
    <t>Potenza</t>
  </si>
  <si>
    <t>Traza</t>
  </si>
  <si>
    <t>Plano</t>
  </si>
  <si>
    <t>DPL</t>
  </si>
  <si>
    <t>Reparos</t>
  </si>
  <si>
    <t>FechaFinReparo</t>
  </si>
  <si>
    <t>SUBCONASIGNADA2</t>
  </si>
  <si>
    <t>PorcFO</t>
  </si>
  <si>
    <t>PorcCA</t>
  </si>
  <si>
    <t>PorcCI</t>
  </si>
  <si>
    <t>PorcRD</t>
  </si>
  <si>
    <t>PorcIN</t>
  </si>
  <si>
    <t>NombreRegion</t>
  </si>
  <si>
    <t>NombreDistrito</t>
  </si>
  <si>
    <t>NombreCentral</t>
  </si>
  <si>
    <t>PorcTI</t>
  </si>
  <si>
    <t>PorcTE</t>
  </si>
  <si>
    <t>PorcTM</t>
  </si>
  <si>
    <t>PorcTX</t>
  </si>
  <si>
    <t>PorcAcceso</t>
  </si>
  <si>
    <t>Motivo</t>
  </si>
  <si>
    <t>Tipologia</t>
  </si>
  <si>
    <t>NroDim1</t>
  </si>
  <si>
    <t>NroDim2</t>
  </si>
  <si>
    <t>NroDim3</t>
  </si>
  <si>
    <t>NroDim4</t>
  </si>
  <si>
    <t>NroDim5</t>
  </si>
  <si>
    <t>BloqueaMateriales</t>
  </si>
  <si>
    <t>GrupoAlmacen</t>
  </si>
  <si>
    <t>GrupoCausante</t>
  </si>
  <si>
    <t>PorcObraVenta</t>
  </si>
  <si>
    <t>Empresa</t>
  </si>
  <si>
    <t>POSX</t>
  </si>
  <si>
    <t>POSY</t>
  </si>
  <si>
    <t>Direccion</t>
  </si>
  <si>
    <t xml:space="preserve"> Av calchaqui (ruta 36) mano a ruta 2 500 mts antes de la rotonda de alpargatas</t>
  </si>
  <si>
    <t>AO</t>
  </si>
  <si>
    <t>05318M5-40</t>
  </si>
  <si>
    <t>01-Inicial</t>
  </si>
  <si>
    <t>100.00</t>
  </si>
  <si>
    <t>2020-11-03 09:39:25.3700000</t>
  </si>
  <si>
    <t>Puntos</t>
  </si>
  <si>
    <t>0.00</t>
  </si>
  <si>
    <t>Salinas Carlos</t>
  </si>
  <si>
    <t>Obra</t>
  </si>
  <si>
    <t>X2</t>
  </si>
  <si>
    <t>No</t>
  </si>
  <si>
    <t>-</t>
  </si>
  <si>
    <t>A</t>
  </si>
  <si>
    <t>6581.74</t>
  </si>
  <si>
    <t>30167.25</t>
  </si>
  <si>
    <t>A Realizar</t>
  </si>
  <si>
    <t>IN</t>
  </si>
  <si>
    <t>EE</t>
  </si>
  <si>
    <t>NO</t>
  </si>
  <si>
    <t>Sin Datos</t>
  </si>
  <si>
    <t>QUILMES</t>
  </si>
  <si>
    <t>SUR</t>
  </si>
  <si>
    <t>ROWD18</t>
  </si>
  <si>
    <t>ROWING</t>
  </si>
  <si>
    <t>Seg &amp; Hig</t>
  </si>
  <si>
    <t>Algo mas</t>
  </si>
  <si>
    <t>APP:</t>
  </si>
  <si>
    <t>Formulario Reclamos + Foto + Descarga Material (01/09/2021)T</t>
  </si>
  <si>
    <t>Seguridad e higiene 5 reglas de oro Formulario + Foto + Pedido materiales a PPR (01/09/2021)T</t>
  </si>
  <si>
    <t>Nomina DNI / Legajo Foto y datos de la persona (01/08/2021)T</t>
  </si>
  <si>
    <t>Formulario + secuencia de fotos + presentismo + visualización de archivos + req materiales APP operativa (01/08/2020)T</t>
  </si>
  <si>
    <t>Poder generar un requerimiento de materiales desde la calle (01/08/2020)T</t>
  </si>
  <si>
    <t>Mostrar Datos del empleado</t>
  </si>
  <si>
    <t>Listado de Entregas</t>
  </si>
  <si>
    <t>Listado de Informes</t>
  </si>
  <si>
    <t>--&gt;</t>
  </si>
  <si>
    <t>Detalle de cada entrega</t>
  </si>
  <si>
    <t>Detalle de informe</t>
  </si>
  <si>
    <t>Cargar un informe</t>
  </si>
  <si>
    <t>Ver….</t>
  </si>
  <si>
    <t>Fecha</t>
  </si>
  <si>
    <t>Comentario</t>
  </si>
  <si>
    <t>Usuario que hace el reporte</t>
  </si>
  <si>
    <t>Seleccionar empleado</t>
  </si>
  <si>
    <t>Ver otros documentos (PDF)</t>
  </si>
  <si>
    <t>use Gsp8Ezn</t>
  </si>
  <si>
    <t xml:space="preserve">select * from Causantes </t>
  </si>
  <si>
    <t>where grupo = 'PPR'</t>
  </si>
  <si>
    <t>--Tabla ClientesCausantes datos filiatorio</t>
  </si>
  <si>
    <t>Coulmna codigo seria para buscar el empleado</t>
  </si>
  <si>
    <t>select Denominacion, stock_act, CODIGOSAP from ProductosStock</t>
  </si>
  <si>
    <t>where grupo='PPR' and stock_act&gt;1</t>
  </si>
  <si>
    <t>--Stock de TablaCausantes</t>
  </si>
  <si>
    <t>--PPR = Personal Propio Rowing</t>
  </si>
  <si>
    <t>Tabla donde se guardan los movimientos</t>
  </si>
  <si>
    <t>SELECT codigo, grupo, causante, stock_act, stock_min, stock_max, en_transi, reservado, demora, fila, estante, cajon, notas, fecha, identity_column, Denominacion, PepPrim, PepSec, CODIGOSAP</t>
  </si>
  <si>
    <t>FROM     ProductosStock</t>
  </si>
  <si>
    <t>where grupo='PPR' AND CODIGOSAP= 'ED-60010'</t>
  </si>
  <si>
    <t>SELECT NROREGISTRO, NROOBRA, OBSERVACION, LINK, FECHA, MODULO, NroLote, Sector, Estante, GeneradoPor, Latitud, Longitud, FechaHsFoto, TipoDeFoto, DireccionFoto</t>
  </si>
  <si>
    <t>FROM     ObrasDocumentos</t>
  </si>
  <si>
    <t>WHERE  (NROOBRA = 56640)</t>
  </si>
  <si>
    <t>WHERE  TipoDeFoto=1</t>
  </si>
  <si>
    <t>use ObrasOT</t>
  </si>
  <si>
    <t>WHERE LINK&lt;&gt;'' AND TipoDeFoto=4</t>
  </si>
  <si>
    <t>SELECT NroObra,Modulo,GrupoAlmacen,GrupoCausante,SUPERVISORE,CodigoEstado FROM Obras</t>
  </si>
  <si>
    <t>WHERE NroObra=59902</t>
  </si>
  <si>
    <t>where grupo &lt;&gt; 'PPR'</t>
  </si>
  <si>
    <t>select grupo,causante,fecha,Denominacion, stock_act, CODIGOSAP from ProductosStock</t>
  </si>
  <si>
    <t>where grupo='PPR' and  stock_act&gt;0 and fecha&gt;1</t>
  </si>
  <si>
    <t>order by fecha desc</t>
  </si>
  <si>
    <t>--</t>
  </si>
  <si>
    <t>select * from ObrasDocumentos</t>
  </si>
  <si>
    <t>Obrero</t>
  </si>
  <si>
    <t>Seg e Hig</t>
  </si>
  <si>
    <t>Ver Obras</t>
  </si>
  <si>
    <t>Sacar Fotos</t>
  </si>
  <si>
    <t>Ver Menú Seg e Hig</t>
  </si>
  <si>
    <t>X</t>
  </si>
  <si>
    <t>A la clase Usuario agregar:</t>
  </si>
  <si>
    <t>HabilitaAPP</t>
  </si>
  <si>
    <t>HabilitaFotos</t>
  </si>
  <si>
    <t>HabilitaReclamos</t>
  </si>
  <si>
    <t>HabilitaSSHH</t>
  </si>
  <si>
    <r>
      <t xml:space="preserve">select </t>
    </r>
    <r>
      <rPr>
        <b/>
        <sz val="11"/>
        <color rgb="FFFF0000"/>
        <rFont val="Calibri"/>
        <family val="2"/>
        <scheme val="minor"/>
      </rPr>
      <t>codigo as SIAG</t>
    </r>
    <r>
      <rPr>
        <sz val="11"/>
        <color theme="1"/>
        <rFont val="Calibri"/>
        <family val="2"/>
        <scheme val="minor"/>
      </rPr>
      <t>, CODIGOSAP as SAP,Denominacion,stock_act from ProductosStock</t>
    </r>
  </si>
  <si>
    <t>ALAN</t>
  </si>
  <si>
    <t>BRENDA</t>
  </si>
  <si>
    <t>CHANTAL</t>
  </si>
  <si>
    <t>HablitaApp</t>
  </si>
  <si>
    <t>HabilitaRRHH</t>
  </si>
  <si>
    <t>Estado = 1</t>
  </si>
  <si>
    <t>HabilitaAPP = 1</t>
  </si>
  <si>
    <t>Modulo &lt;&gt;ObrasTasa</t>
  </si>
  <si>
    <t>Tablas</t>
  </si>
  <si>
    <t>ObrasPostes</t>
  </si>
  <si>
    <t>ObrasPostesCajasDetalle</t>
  </si>
  <si>
    <t>Campo</t>
  </si>
  <si>
    <t>ObraImput</t>
  </si>
  <si>
    <t>Los valores que hay son</t>
  </si>
  <si>
    <t>Medidores</t>
  </si>
  <si>
    <t>Reclamos</t>
  </si>
  <si>
    <t>Postes</t>
  </si>
  <si>
    <t>Precinto</t>
  </si>
  <si>
    <t>SerieMedidorColocado</t>
  </si>
  <si>
    <t>CajaDAE</t>
  </si>
  <si>
    <t xml:space="preserve">Filtro </t>
  </si>
  <si>
    <t xml:space="preserve">Ingresar n° </t>
  </si>
  <si>
    <t>ASTICKET</t>
  </si>
  <si>
    <t xml:space="preserve">Poder cambiar </t>
  </si>
  <si>
    <t>Lindero 1</t>
  </si>
  <si>
    <t>Lindero 2</t>
  </si>
  <si>
    <t>Que se vea</t>
  </si>
  <si>
    <t>TERMINAL</t>
  </si>
  <si>
    <t>NOMBRE</t>
  </si>
  <si>
    <t>direccion</t>
  </si>
  <si>
    <t>numeracion</t>
  </si>
  <si>
    <t>localidad</t>
  </si>
  <si>
    <t>cliente</t>
  </si>
  <si>
    <t>telefono</t>
  </si>
  <si>
    <t>Nro Medidor Colocado</t>
  </si>
  <si>
    <t>Estado de medidor retirado</t>
  </si>
  <si>
    <t>Nro de precinto</t>
  </si>
  <si>
    <t>Nro de tapa o caja</t>
  </si>
  <si>
    <t>no oblig</t>
  </si>
  <si>
    <t>Se guardaen en ObrasDocumentos</t>
  </si>
  <si>
    <t>IDObrasPOSTES (NROREGISTRO de tabla ObrasPostes)</t>
  </si>
  <si>
    <t>Select * from ObrasPostes where TipoImput='Medidores' and CERTIFICADO &lt;&gt;'Si'</t>
  </si>
  <si>
    <t>SELECT ASTICKET,NROREGISTRO, NROOBRA, Cliente,DIRECCION, NUMERACION, Localidad,Telefono, SerieMedidorColocado  , Precinto, CajaDAE, OBSERVACIONES, Lindero1, Lindero2</t>
  </si>
  <si>
    <t>FROM     ObrasPostes</t>
  </si>
  <si>
    <t>WHERE  (ASTICKET = 'se0012641832')</t>
  </si>
  <si>
    <t>WHERE TipoImput='Medidores' AND CERTIFICADO='No'</t>
  </si>
  <si>
    <t>Team Viewer</t>
  </si>
  <si>
    <t>Candela$77%%</t>
  </si>
  <si>
    <t>usuario de windows</t>
  </si>
  <si>
    <t>GAOS</t>
  </si>
  <si>
    <t>clave %%G4o$685%%</t>
  </si>
  <si>
    <t>SQL:</t>
  </si>
  <si>
    <t>SELECT NROREGISTRO, NROOBRA, IDObrasPostes, OBSERVACION, LINK, FECHA, MODULO, NroLote, Sector, Estante, GeneradoPor, Latitud, Longitud, FechaHsFoto, TipoDeFoto, DireccionFoto, FechaHS, IDObrasPostes</t>
  </si>
  <si>
    <t>WHERE  (LINK &lt;&gt; '') AND (IDObrasPostes='47545')</t>
  </si>
  <si>
    <t>190.136.50.247</t>
  </si>
  <si>
    <t>IdUsuario</t>
  </si>
  <si>
    <t>HabilitaMedidores</t>
  </si>
  <si>
    <t>KEYPRESS</t>
  </si>
  <si>
    <t>KEYROOT</t>
  </si>
  <si>
    <t>Pablo</t>
  </si>
  <si>
    <t>Lacuadri</t>
  </si>
  <si>
    <t>GPRIETO</t>
  </si>
  <si>
    <t>CELESTE</t>
  </si>
  <si>
    <t xml:space="preserve">Gonzalo </t>
  </si>
  <si>
    <t>Prieto</t>
  </si>
  <si>
    <t>INIETO</t>
  </si>
  <si>
    <t>MINUSCULA</t>
  </si>
  <si>
    <t>Ivan</t>
  </si>
  <si>
    <t>Nieto</t>
  </si>
  <si>
    <t>Energia</t>
  </si>
  <si>
    <t>RSORIA</t>
  </si>
  <si>
    <t>RUBSOR19</t>
  </si>
  <si>
    <t>Ruben Dario</t>
  </si>
  <si>
    <t>Soria</t>
  </si>
  <si>
    <t>SREPETTO</t>
  </si>
  <si>
    <t>2022RS</t>
  </si>
  <si>
    <t>SEBASTIAN</t>
  </si>
  <si>
    <t>REPETTO</t>
  </si>
  <si>
    <t>YAMAYA</t>
  </si>
  <si>
    <t>YESICA</t>
  </si>
  <si>
    <t>LGOMEZ</t>
  </si>
  <si>
    <t>GOM123</t>
  </si>
  <si>
    <t xml:space="preserve">LUCAS </t>
  </si>
  <si>
    <t>GOMEZ</t>
  </si>
  <si>
    <t>FVADILLO</t>
  </si>
  <si>
    <t>FVA123</t>
  </si>
  <si>
    <t xml:space="preserve">FRANCISCO </t>
  </si>
  <si>
    <t xml:space="preserve">VADILLO </t>
  </si>
  <si>
    <t>BBATTELLO</t>
  </si>
  <si>
    <t>BBA123</t>
  </si>
  <si>
    <t>BIANCA</t>
  </si>
  <si>
    <t>BATTELLO</t>
  </si>
  <si>
    <t>RFVADILLO</t>
  </si>
  <si>
    <t>FVA1234</t>
  </si>
  <si>
    <t>SantillanJ</t>
  </si>
  <si>
    <t>Jhon</t>
  </si>
  <si>
    <t>Santillan</t>
  </si>
  <si>
    <t>JAVIERP</t>
  </si>
  <si>
    <t>Javier</t>
  </si>
  <si>
    <t xml:space="preserve">Padula </t>
  </si>
  <si>
    <t>DPOGGIO</t>
  </si>
  <si>
    <t>Damian</t>
  </si>
  <si>
    <t>Poggio</t>
  </si>
  <si>
    <t>DGARREDO</t>
  </si>
  <si>
    <t>DALMA FIORELLA</t>
  </si>
  <si>
    <t>GARREDO</t>
  </si>
  <si>
    <t>BARRIOSJC</t>
  </si>
  <si>
    <t>Juan Carlos</t>
  </si>
  <si>
    <t>Barrios</t>
  </si>
  <si>
    <t>Usuario</t>
  </si>
  <si>
    <t>Contraseña</t>
  </si>
  <si>
    <t>Cant Obras antes</t>
  </si>
  <si>
    <t>Cant Obras ahora</t>
  </si>
  <si>
    <t>grupo y causante los del usuario</t>
  </si>
  <si>
    <t>Nro Obra</t>
  </si>
  <si>
    <t>Este listado lo vamos a sacar de la tabla Catalogos</t>
  </si>
  <si>
    <t>N° (campo NUMERACION)</t>
  </si>
  <si>
    <t>TipoImput</t>
  </si>
  <si>
    <t>Cargarle la palabra Reclamos</t>
  </si>
  <si>
    <t>Datos a completar (tabla ObrasPostes):</t>
  </si>
  <si>
    <t>Subcontratista (campo CODIGO GRUPO)</t>
  </si>
  <si>
    <t>Causante C (campo CODIGOCAUSANTE)</t>
  </si>
  <si>
    <t>Descripcion/Nombre: (el campo se llama TERMINAL)</t>
  </si>
  <si>
    <t>AS/N° Reclamo: (campo ASTICKET)</t>
  </si>
  <si>
    <t>GRXX</t>
  </si>
  <si>
    <t>GRYY</t>
  </si>
  <si>
    <t>vacio</t>
  </si>
  <si>
    <t>IDUsrln</t>
  </si>
  <si>
    <t>Poner el IDUsuario logueado</t>
  </si>
  <si>
    <t>ObservacionAdicional</t>
  </si>
  <si>
    <t>FechaCarga</t>
  </si>
  <si>
    <t>Fecha del dia</t>
  </si>
  <si>
    <t xml:space="preserve">Riewgo Electrico </t>
  </si>
  <si>
    <t>CERTIFICADO</t>
  </si>
  <si>
    <t>FECHAASIGNACION</t>
  </si>
  <si>
    <t>MES</t>
  </si>
  <si>
    <t>Poner el numero</t>
  </si>
  <si>
    <t>catCodigo</t>
  </si>
  <si>
    <t>catCatalogo</t>
  </si>
  <si>
    <t>Descripcion</t>
  </si>
  <si>
    <t>codigoSAP</t>
  </si>
  <si>
    <t>SAP</t>
  </si>
  <si>
    <t>SIAG</t>
  </si>
  <si>
    <t>select * from Catalogos where VerEnReclamosApp=1 AND Modulo=MODULO USUARIO</t>
  </si>
  <si>
    <t>guardar en tabla ObrasPostesCajasDetalle</t>
  </si>
  <si>
    <r>
      <t>Prueba (</t>
    </r>
    <r>
      <rPr>
        <b/>
        <sz val="11"/>
        <color rgb="FFFF0000"/>
        <rFont val="Calibri"/>
        <family val="2"/>
        <scheme val="minor"/>
      </rPr>
      <t>luego borrar</t>
    </r>
    <r>
      <rPr>
        <sz val="11"/>
        <color theme="1"/>
        <rFont val="Calibri"/>
        <family val="2"/>
        <scheme val="minor"/>
      </rPr>
      <t>):</t>
    </r>
  </si>
  <si>
    <t>SELECT catCodigo, CodigoSap, catCatalogo</t>
  </si>
  <si>
    <t>FROM     Catalogos</t>
  </si>
  <si>
    <t>WHERE VerEnReclamosApp=1 AND Modulo='Rowing'</t>
  </si>
  <si>
    <t>ORDER BY catCatalogo</t>
  </si>
  <si>
    <t>Los 31 materiales de Rowing:</t>
  </si>
  <si>
    <t>Relevamiento(Vereda/Calzada/Traza)</t>
  </si>
  <si>
    <t>Finalización del Trabajo</t>
  </si>
  <si>
    <t>FALTA</t>
  </si>
  <si>
    <t>Adicionar foto</t>
  </si>
  <si>
    <t>Carousel</t>
  </si>
  <si>
    <t>Borrar foto</t>
  </si>
  <si>
    <t>Verificar si se puede borrar una sola foto</t>
  </si>
  <si>
    <t>Poder subir fotos de la galería</t>
  </si>
  <si>
    <t>Agregar en Obras como opción de foto "Vereda conforme". Ponerlo antes de "Finalización del trabajo"</t>
  </si>
  <si>
    <t>Corregir API ObrasDocumentos ImageFullPath que sale en blanco</t>
  </si>
  <si>
    <t>Verificar que se grabe foto en Obras</t>
  </si>
  <si>
    <t>Nuevo menú. Al entrar se ven los reclamos de la Obra y del usuario logueado.</t>
  </si>
  <si>
    <t>Se debe poder cargar uno nuevo y volver a la pantalla anterior.</t>
  </si>
  <si>
    <t>Este menú es sólo para HabilitaReclamos=true.</t>
  </si>
  <si>
    <t>También se debe poder hacer un pedido de materiales. Los catálogos salen de la tabla catálogos que tengan el campo Verenreclamoapp en 1.</t>
  </si>
  <si>
    <t>Que se pueda elegir la Obra (serán 2, en Tabla Obras las que tienen HabilitaReclamosAPP = 1 y módulo = al del usuario logueado)</t>
  </si>
  <si>
    <t>Vereda conforme</t>
  </si>
  <si>
    <t>Tipo Foto</t>
  </si>
  <si>
    <t>Orden</t>
  </si>
  <si>
    <t>SELECT NROREGISTRO, NROOBRA, OBSERVACION, LINK, FECHA, MODULO, NroLote, Sector, Estante, GeneradoPor, Latitud, Longitud, FechaHsFoto, TipoDeFoto, DireccionFoto, FechaHS, IDObrasPostes</t>
  </si>
  <si>
    <t>WHERE  (NROOBRA = 68489)</t>
  </si>
  <si>
    <t>PARA VER LAS FOTOS DE LA OBRA CON QUE ESTOY PROBANDO FOTOS EN OBRAS</t>
  </si>
  <si>
    <t>PARA VER LAS FOTOS DEL TICKET CON QUE ESTOY PROBANDO FOTOS EN MEDIDORES</t>
  </si>
  <si>
    <t xml:space="preserve">SELECT NROREGISTRO, NROOBRA, ZONA, MES, TIPO, TERMINAL, DIRECCION, NUMERACION, ASTICKET, FECHAASIGNACION, FECHAFIN, SUBCONTRATISTA, OBSERVACIONES, CERTIFICADO, Central, ZonaP, RiesgoElectrico, FechaCarga, </t>
  </si>
  <si>
    <t xml:space="preserve">                  CausanteC, Supervisor, TipoLegajoA2, TipoClasificacion, Estado, SubEstado, ObservacionAdicional, FechaCambioLegajo, TipoImput, Barrio, EntreCalle1, EntreCalle2, MedidorRetirado, SerieMedidor, CajaDAE, IDUsrIn, IDActaCertif, </t>
  </si>
  <si>
    <t xml:space="preserve">                  Localidad, Cliente, Telefono, Precinto, SerieMedidorColocado, GRXX, GRYY, Lindero1, Lindero2</t>
  </si>
  <si>
    <t>EN OBRASPOSTES:</t>
  </si>
  <si>
    <t>EN OBRASDOCUMENTOS:</t>
  </si>
  <si>
    <t>WHERE  (NROOBRA = 45935) AND (IDObrasPostes = 47545)</t>
  </si>
  <si>
    <t>ORDER BY NROREGISTRO DESC</t>
  </si>
  <si>
    <t>Gonzalo</t>
  </si>
  <si>
    <t>FROM     Usuarios</t>
  </si>
  <si>
    <t>WHERE  (HabilitaAPP = 1)</t>
  </si>
  <si>
    <t>SELECT IdUsuario, CODIGOGRUPO,CODIGOCAUSANTE,Login, Contrasena, Nombre, Apellido, HabilitaAPP, HabilitaFotos, HabilitaSSHH, HabilitaRRHH,HabilitaMedidores, HabilitaReclamos, HabilitaFlotas, Modulo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</si>
</sst>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222222"/>
      <name val="Calibri"/>
      <family val="2"/>
      <scheme val="minor"/>
    </font>
    <font>
      <u/>
      <sz val="8"/>
      <color theme="1"/>
      <name val="Arial"/>
      <family val="2"/>
    </font>
    <font>
      <b/>
      <sz val="8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3" fontId="1" fillId="0" borderId="0" xfId="0" quotePrefix="1" applyNumberFormat="1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horizontal="left"/>
    </xf>
    <xf numFmtId="14" fontId="1" fillId="0" borderId="0" xfId="0" applyNumberFormat="1" applyFont="1"/>
    <xf numFmtId="0" fontId="1" fillId="2" borderId="0" xfId="0" applyFont="1" applyFill="1"/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 indent="1"/>
    </xf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/>
    <xf numFmtId="0" fontId="6" fillId="0" borderId="0" xfId="0" applyFont="1"/>
    <xf numFmtId="0" fontId="5" fillId="0" borderId="0" xfId="0" applyFont="1"/>
    <xf numFmtId="0" fontId="1" fillId="4" borderId="0" xfId="0" applyFont="1" applyFill="1"/>
    <xf numFmtId="0" fontId="0" fillId="0" borderId="2" xfId="0" applyBorder="1"/>
    <xf numFmtId="0" fontId="7" fillId="0" borderId="0" xfId="0" applyFont="1"/>
    <xf numFmtId="0" fontId="7" fillId="2" borderId="0" xfId="0" applyFont="1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121920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36C20AC9-2D31-4449-A99B-9B389D6B330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441960</xdr:colOff>
      <xdr:row>24</xdr:row>
      <xdr:rowOff>91440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C34A0D-1DFA-42A3-8E05-C0C030E7C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574280" cy="448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46312-847B-40D1-8980-D7DCC506F668}">
  <dimension ref="A1:DW103"/>
  <sheetViews>
    <sheetView tabSelected="1" workbookViewId="0">
      <selection activeCell="B14" sqref="B14:B16"/>
    </sheetView>
  </sheetViews>
  <sheetFormatPr baseColWidth="10" defaultRowHeight="10.199999999999999" x14ac:dyDescent="0.2"/>
  <cols>
    <col min="1" max="1" width="17.44140625" style="1" bestFit="1" customWidth="1"/>
    <col min="2" max="2" width="16.109375" style="1" customWidth="1"/>
    <col min="3" max="6" width="11.5546875" style="1"/>
    <col min="7" max="7" width="12.77734375" style="1" bestFit="1" customWidth="1"/>
    <col min="8" max="8" width="15.88671875" style="1" bestFit="1" customWidth="1"/>
    <col min="9" max="11" width="11.5546875" style="1"/>
    <col min="12" max="12" width="14.109375" style="1" customWidth="1"/>
    <col min="13" max="26" width="11.5546875" style="1"/>
    <col min="27" max="27" width="13.33203125" style="1" bestFit="1" customWidth="1"/>
    <col min="28" max="16384" width="11.5546875" style="1"/>
  </cols>
  <sheetData>
    <row r="1" spans="1:16" x14ac:dyDescent="0.2">
      <c r="A1" s="3" t="s">
        <v>17</v>
      </c>
      <c r="B1" s="1" t="s">
        <v>0</v>
      </c>
      <c r="D1" s="1" t="s">
        <v>382</v>
      </c>
      <c r="E1" s="1">
        <v>382737678</v>
      </c>
      <c r="N1" s="1" t="s">
        <v>505</v>
      </c>
      <c r="O1" s="1" t="s">
        <v>504</v>
      </c>
      <c r="P1" s="1" t="s">
        <v>475</v>
      </c>
    </row>
    <row r="2" spans="1:16" x14ac:dyDescent="0.2">
      <c r="A2" s="3" t="s">
        <v>387</v>
      </c>
      <c r="D2" s="1" t="s">
        <v>14</v>
      </c>
      <c r="E2" s="1" t="s">
        <v>383</v>
      </c>
      <c r="N2" s="1">
        <v>0</v>
      </c>
      <c r="O2" s="21">
        <v>0</v>
      </c>
      <c r="P2" s="21" t="s">
        <v>487</v>
      </c>
    </row>
    <row r="3" spans="1:16" x14ac:dyDescent="0.2">
      <c r="A3" s="3" t="s">
        <v>12</v>
      </c>
      <c r="B3" s="2" t="s">
        <v>13</v>
      </c>
      <c r="C3" s="1" t="s">
        <v>390</v>
      </c>
      <c r="E3" s="1" t="s">
        <v>384</v>
      </c>
      <c r="N3" s="1">
        <v>1</v>
      </c>
      <c r="O3" s="21">
        <v>1</v>
      </c>
      <c r="P3" s="21" t="s">
        <v>118</v>
      </c>
    </row>
    <row r="4" spans="1:16" x14ac:dyDescent="0.2">
      <c r="A4" s="3" t="s">
        <v>3</v>
      </c>
      <c r="B4" s="1" t="s">
        <v>15</v>
      </c>
      <c r="E4" s="1" t="s">
        <v>385</v>
      </c>
      <c r="N4" s="1">
        <v>2</v>
      </c>
      <c r="O4" s="21">
        <v>2</v>
      </c>
      <c r="P4" s="21" t="s">
        <v>119</v>
      </c>
    </row>
    <row r="5" spans="1:16" x14ac:dyDescent="0.2">
      <c r="A5" s="3" t="s">
        <v>14</v>
      </c>
      <c r="B5" s="1" t="s">
        <v>16</v>
      </c>
      <c r="E5" s="1" t="s">
        <v>386</v>
      </c>
      <c r="N5" s="1">
        <v>3</v>
      </c>
      <c r="O5" s="1">
        <v>10</v>
      </c>
      <c r="P5" s="1" t="s">
        <v>503</v>
      </c>
    </row>
    <row r="6" spans="1:16" x14ac:dyDescent="0.2">
      <c r="J6" s="15" t="s">
        <v>326</v>
      </c>
      <c r="K6" s="15" t="s">
        <v>327</v>
      </c>
      <c r="L6" s="15" t="s">
        <v>328</v>
      </c>
      <c r="N6" s="1">
        <v>4</v>
      </c>
      <c r="O6" s="21">
        <v>3</v>
      </c>
      <c r="P6" s="21" t="s">
        <v>488</v>
      </c>
    </row>
    <row r="7" spans="1:16" x14ac:dyDescent="0.2">
      <c r="I7" s="4" t="s">
        <v>324</v>
      </c>
      <c r="J7" s="15" t="s">
        <v>329</v>
      </c>
      <c r="K7" s="15" t="s">
        <v>329</v>
      </c>
      <c r="L7" s="15"/>
    </row>
    <row r="8" spans="1:16" x14ac:dyDescent="0.2">
      <c r="A8" s="3" t="s">
        <v>1</v>
      </c>
      <c r="B8" s="1" t="s">
        <v>18</v>
      </c>
      <c r="I8" s="4" t="s">
        <v>324</v>
      </c>
      <c r="J8" s="15" t="s">
        <v>329</v>
      </c>
      <c r="K8" s="15"/>
      <c r="L8" s="15"/>
      <c r="P8" s="3" t="s">
        <v>508</v>
      </c>
    </row>
    <row r="9" spans="1:16" x14ac:dyDescent="0.2">
      <c r="B9" s="1" t="s">
        <v>2</v>
      </c>
      <c r="C9" s="1">
        <v>1</v>
      </c>
      <c r="I9" s="4" t="s">
        <v>325</v>
      </c>
      <c r="J9" s="15" t="s">
        <v>329</v>
      </c>
      <c r="K9" s="15"/>
      <c r="L9" s="15" t="s">
        <v>329</v>
      </c>
      <c r="P9" s="24" t="s">
        <v>506</v>
      </c>
    </row>
    <row r="10" spans="1:16" x14ac:dyDescent="0.2">
      <c r="B10" s="1" t="s">
        <v>3</v>
      </c>
      <c r="N10" s="23"/>
      <c r="P10" s="8" t="s">
        <v>311</v>
      </c>
    </row>
    <row r="11" spans="1:16" x14ac:dyDescent="0.2">
      <c r="B11" s="1" t="s">
        <v>4</v>
      </c>
      <c r="P11" s="8" t="s">
        <v>507</v>
      </c>
    </row>
    <row r="12" spans="1:16" x14ac:dyDescent="0.2">
      <c r="B12" s="1" t="s">
        <v>5</v>
      </c>
      <c r="C12" s="1">
        <v>1</v>
      </c>
    </row>
    <row r="14" spans="1:16" x14ac:dyDescent="0.2">
      <c r="B14" s="8" t="s">
        <v>520</v>
      </c>
      <c r="C14" s="8"/>
      <c r="D14" s="8"/>
      <c r="E14" s="8"/>
      <c r="F14" s="8"/>
      <c r="G14" s="8"/>
    </row>
    <row r="15" spans="1:16" x14ac:dyDescent="0.2">
      <c r="B15" s="8" t="s">
        <v>518</v>
      </c>
      <c r="N15" s="1" t="s">
        <v>341</v>
      </c>
    </row>
    <row r="16" spans="1:16" x14ac:dyDescent="0.2">
      <c r="B16" s="8" t="s">
        <v>519</v>
      </c>
      <c r="N16" s="1" t="s">
        <v>342</v>
      </c>
    </row>
    <row r="17" spans="2:17" x14ac:dyDescent="0.2">
      <c r="J17" s="1" t="s">
        <v>330</v>
      </c>
      <c r="N17" s="1" t="s">
        <v>343</v>
      </c>
    </row>
    <row r="18" spans="2:17" x14ac:dyDescent="0.2">
      <c r="K18" s="3" t="s">
        <v>331</v>
      </c>
    </row>
    <row r="19" spans="2:17" x14ac:dyDescent="0.2">
      <c r="B19" s="5" t="s">
        <v>3</v>
      </c>
      <c r="C19" s="5" t="s">
        <v>4</v>
      </c>
      <c r="D19" s="5" t="s">
        <v>19</v>
      </c>
      <c r="E19" s="5" t="s">
        <v>20</v>
      </c>
      <c r="K19" s="3" t="s">
        <v>332</v>
      </c>
      <c r="Q19" s="3" t="s">
        <v>509</v>
      </c>
    </row>
    <row r="20" spans="2:17" x14ac:dyDescent="0.2">
      <c r="B20" s="4" t="s">
        <v>21</v>
      </c>
      <c r="C20" s="6" t="s">
        <v>22</v>
      </c>
      <c r="D20" s="4" t="s">
        <v>23</v>
      </c>
      <c r="E20" s="4" t="s">
        <v>24</v>
      </c>
      <c r="K20" s="3" t="s">
        <v>333</v>
      </c>
      <c r="Q20" s="25" t="s">
        <v>513</v>
      </c>
    </row>
    <row r="21" spans="2:17" x14ac:dyDescent="0.2">
      <c r="B21" s="4" t="s">
        <v>25</v>
      </c>
      <c r="C21" s="6" t="s">
        <v>26</v>
      </c>
      <c r="D21" s="4" t="s">
        <v>27</v>
      </c>
      <c r="E21" s="4" t="s">
        <v>28</v>
      </c>
      <c r="K21" s="3" t="s">
        <v>334</v>
      </c>
      <c r="Q21" s="1" t="s">
        <v>510</v>
      </c>
    </row>
    <row r="22" spans="2:17" x14ac:dyDescent="0.2">
      <c r="B22" s="4" t="s">
        <v>29</v>
      </c>
      <c r="C22" s="6" t="s">
        <v>30</v>
      </c>
      <c r="D22" s="4" t="s">
        <v>31</v>
      </c>
      <c r="E22" s="4" t="s">
        <v>32</v>
      </c>
      <c r="K22" s="3" t="s">
        <v>213</v>
      </c>
      <c r="Q22" s="1" t="s">
        <v>511</v>
      </c>
    </row>
    <row r="23" spans="2:17" x14ac:dyDescent="0.2">
      <c r="B23" s="4" t="s">
        <v>33</v>
      </c>
      <c r="C23" s="6" t="s">
        <v>34</v>
      </c>
      <c r="D23" s="4" t="s">
        <v>35</v>
      </c>
      <c r="E23" s="4" t="s">
        <v>36</v>
      </c>
      <c r="K23" s="3" t="s">
        <v>340</v>
      </c>
      <c r="Q23" s="1" t="s">
        <v>512</v>
      </c>
    </row>
    <row r="24" spans="2:17" x14ac:dyDescent="0.2">
      <c r="B24" s="4" t="s">
        <v>37</v>
      </c>
      <c r="C24" s="6">
        <v>456789</v>
      </c>
      <c r="D24" s="4" t="s">
        <v>38</v>
      </c>
      <c r="E24" s="4" t="s">
        <v>39</v>
      </c>
      <c r="Q24" s="1" t="s">
        <v>379</v>
      </c>
    </row>
    <row r="25" spans="2:17" x14ac:dyDescent="0.2">
      <c r="B25" s="4" t="s">
        <v>40</v>
      </c>
      <c r="C25" s="6" t="s">
        <v>41</v>
      </c>
      <c r="D25" s="4" t="s">
        <v>42</v>
      </c>
      <c r="E25" s="4" t="s">
        <v>43</v>
      </c>
      <c r="Q25" s="1" t="s">
        <v>380</v>
      </c>
    </row>
    <row r="26" spans="2:17" x14ac:dyDescent="0.2">
      <c r="B26" s="4" t="s">
        <v>44</v>
      </c>
      <c r="C26" s="6">
        <v>15032021</v>
      </c>
      <c r="D26" s="4" t="s">
        <v>45</v>
      </c>
      <c r="E26" s="4" t="s">
        <v>46</v>
      </c>
      <c r="G26" s="5" t="s">
        <v>3</v>
      </c>
      <c r="H26" s="5" t="s">
        <v>4</v>
      </c>
      <c r="I26" s="5" t="s">
        <v>19</v>
      </c>
      <c r="J26" s="5" t="s">
        <v>20</v>
      </c>
      <c r="K26" s="5" t="s">
        <v>339</v>
      </c>
      <c r="L26" s="5" t="s">
        <v>332</v>
      </c>
      <c r="M26" s="5" t="s">
        <v>334</v>
      </c>
      <c r="N26" s="5" t="s">
        <v>340</v>
      </c>
      <c r="O26" s="5" t="s">
        <v>333</v>
      </c>
    </row>
    <row r="27" spans="2:17" x14ac:dyDescent="0.2">
      <c r="B27" s="4" t="s">
        <v>47</v>
      </c>
      <c r="C27" s="6" t="s">
        <v>48</v>
      </c>
      <c r="D27" s="4" t="s">
        <v>49</v>
      </c>
      <c r="E27" s="4" t="s">
        <v>50</v>
      </c>
      <c r="F27" s="16">
        <v>172</v>
      </c>
      <c r="G27" s="17" t="s">
        <v>21</v>
      </c>
      <c r="H27" s="17" t="s">
        <v>22</v>
      </c>
      <c r="I27" s="17" t="s">
        <v>336</v>
      </c>
      <c r="J27" s="17" t="s">
        <v>24</v>
      </c>
      <c r="K27" s="17">
        <v>1</v>
      </c>
      <c r="L27" s="17">
        <v>1</v>
      </c>
      <c r="M27" s="17">
        <v>0</v>
      </c>
      <c r="N27" s="17">
        <v>0</v>
      </c>
      <c r="O27" s="17">
        <v>0</v>
      </c>
      <c r="Q27" s="25" t="s">
        <v>514</v>
      </c>
    </row>
    <row r="28" spans="2:17" x14ac:dyDescent="0.2">
      <c r="B28" s="4" t="s">
        <v>51</v>
      </c>
      <c r="C28" s="6" t="s">
        <v>52</v>
      </c>
      <c r="D28" s="4" t="s">
        <v>53</v>
      </c>
      <c r="E28" s="4" t="s">
        <v>54</v>
      </c>
      <c r="F28" s="16">
        <v>292</v>
      </c>
      <c r="G28" s="17" t="s">
        <v>67</v>
      </c>
      <c r="H28" s="17" t="s">
        <v>68</v>
      </c>
      <c r="I28" s="17" t="s">
        <v>337</v>
      </c>
      <c r="J28" s="17" t="s">
        <v>70</v>
      </c>
      <c r="K28" s="17">
        <v>1</v>
      </c>
      <c r="L28" s="17">
        <v>0</v>
      </c>
      <c r="M28" s="17">
        <v>0</v>
      </c>
      <c r="N28" s="17">
        <v>0</v>
      </c>
      <c r="O28" s="17">
        <v>0</v>
      </c>
      <c r="Q28" s="1" t="s">
        <v>506</v>
      </c>
    </row>
    <row r="29" spans="2:17" x14ac:dyDescent="0.2">
      <c r="B29" s="4" t="s">
        <v>55</v>
      </c>
      <c r="C29" s="6" t="s">
        <v>56</v>
      </c>
      <c r="D29" s="4" t="s">
        <v>57</v>
      </c>
      <c r="E29" s="4" t="s">
        <v>58</v>
      </c>
      <c r="F29" s="16">
        <v>173</v>
      </c>
      <c r="G29" s="17" t="s">
        <v>25</v>
      </c>
      <c r="H29" s="17" t="s">
        <v>26</v>
      </c>
      <c r="I29" s="17" t="s">
        <v>338</v>
      </c>
      <c r="J29" s="17" t="s">
        <v>28</v>
      </c>
      <c r="K29" s="17">
        <v>1</v>
      </c>
      <c r="L29" s="17">
        <v>0</v>
      </c>
      <c r="M29" s="17">
        <v>1</v>
      </c>
      <c r="N29" s="17">
        <v>0</v>
      </c>
      <c r="O29" s="17">
        <v>0</v>
      </c>
      <c r="Q29" s="1" t="s">
        <v>311</v>
      </c>
    </row>
    <row r="30" spans="2:17" x14ac:dyDescent="0.2">
      <c r="B30" s="4" t="s">
        <v>59</v>
      </c>
      <c r="C30" s="6" t="s">
        <v>60</v>
      </c>
      <c r="D30" s="4" t="s">
        <v>61</v>
      </c>
      <c r="E30" s="4" t="s">
        <v>62</v>
      </c>
      <c r="F30" s="16">
        <v>203</v>
      </c>
      <c r="G30" s="17" t="s">
        <v>424</v>
      </c>
      <c r="H30" s="17" t="s">
        <v>425</v>
      </c>
      <c r="I30" s="17" t="s">
        <v>426</v>
      </c>
      <c r="J30" s="17" t="s">
        <v>427</v>
      </c>
      <c r="K30" s="17">
        <v>1</v>
      </c>
      <c r="L30" s="17">
        <v>1</v>
      </c>
      <c r="M30" s="17">
        <v>1</v>
      </c>
      <c r="N30" s="17">
        <v>1</v>
      </c>
      <c r="O30" s="17">
        <v>0</v>
      </c>
      <c r="Q30" s="1" t="s">
        <v>515</v>
      </c>
    </row>
    <row r="31" spans="2:17" x14ac:dyDescent="0.2">
      <c r="B31" s="4" t="s">
        <v>63</v>
      </c>
      <c r="C31" s="6" t="s">
        <v>64</v>
      </c>
      <c r="D31" s="4" t="s">
        <v>65</v>
      </c>
      <c r="E31" s="4" t="s">
        <v>66</v>
      </c>
      <c r="F31" s="1">
        <v>2</v>
      </c>
      <c r="G31" s="17" t="s">
        <v>397</v>
      </c>
      <c r="H31" s="17" t="s">
        <v>398</v>
      </c>
      <c r="I31" s="17" t="s">
        <v>517</v>
      </c>
      <c r="J31" s="17" t="s">
        <v>400</v>
      </c>
      <c r="K31" s="17">
        <v>1</v>
      </c>
      <c r="L31" s="17">
        <v>1</v>
      </c>
      <c r="M31" s="17">
        <v>1</v>
      </c>
      <c r="N31" s="17">
        <v>1</v>
      </c>
      <c r="O31" s="17">
        <v>1</v>
      </c>
      <c r="Q31" s="1" t="s">
        <v>516</v>
      </c>
    </row>
    <row r="32" spans="2:17" x14ac:dyDescent="0.2">
      <c r="B32" s="4" t="s">
        <v>67</v>
      </c>
      <c r="C32" s="6" t="s">
        <v>68</v>
      </c>
      <c r="D32" s="4" t="s">
        <v>69</v>
      </c>
      <c r="E32" s="4" t="s">
        <v>70</v>
      </c>
    </row>
    <row r="33" spans="2:17" x14ac:dyDescent="0.2">
      <c r="B33" s="4" t="s">
        <v>71</v>
      </c>
      <c r="C33" s="6" t="s">
        <v>72</v>
      </c>
      <c r="D33" s="4" t="s">
        <v>61</v>
      </c>
      <c r="E33" s="4" t="s">
        <v>73</v>
      </c>
    </row>
    <row r="34" spans="2:17" x14ac:dyDescent="0.2">
      <c r="B34" s="4" t="s">
        <v>74</v>
      </c>
      <c r="C34" s="6" t="s">
        <v>75</v>
      </c>
      <c r="D34" s="4" t="s">
        <v>76</v>
      </c>
      <c r="E34" s="4" t="s">
        <v>77</v>
      </c>
    </row>
    <row r="35" spans="2:17" x14ac:dyDescent="0.2">
      <c r="B35" s="4" t="s">
        <v>78</v>
      </c>
      <c r="C35" s="6" t="s">
        <v>79</v>
      </c>
      <c r="D35" s="4" t="s">
        <v>80</v>
      </c>
      <c r="E35" s="4" t="s">
        <v>81</v>
      </c>
    </row>
    <row r="38" spans="2:17" x14ac:dyDescent="0.2">
      <c r="C38" s="1" t="s">
        <v>6</v>
      </c>
    </row>
    <row r="39" spans="2:17" x14ac:dyDescent="0.2">
      <c r="C39" s="1" t="s">
        <v>8</v>
      </c>
      <c r="Q39" s="23"/>
    </row>
    <row r="40" spans="2:17" x14ac:dyDescent="0.2">
      <c r="C40" s="1" t="s">
        <v>10</v>
      </c>
    </row>
    <row r="41" spans="2:17" x14ac:dyDescent="0.2">
      <c r="C41" s="1" t="s">
        <v>11</v>
      </c>
    </row>
    <row r="45" spans="2:17" x14ac:dyDescent="0.2">
      <c r="C45" s="1" t="s">
        <v>7</v>
      </c>
    </row>
    <row r="46" spans="2:17" x14ac:dyDescent="0.2">
      <c r="C46" s="1" t="s">
        <v>9</v>
      </c>
    </row>
    <row r="49" spans="1:15" x14ac:dyDescent="0.2">
      <c r="G49" s="1" t="s">
        <v>95</v>
      </c>
    </row>
    <row r="50" spans="1:15" x14ac:dyDescent="0.2">
      <c r="E50" s="1">
        <v>40856</v>
      </c>
      <c r="G50" s="1">
        <v>3</v>
      </c>
      <c r="H50" s="1" t="s">
        <v>96</v>
      </c>
    </row>
    <row r="51" spans="1:15" x14ac:dyDescent="0.2">
      <c r="E51" s="1">
        <v>40932</v>
      </c>
      <c r="G51" s="1">
        <v>2</v>
      </c>
      <c r="H51" s="1" t="s">
        <v>97</v>
      </c>
    </row>
    <row r="52" spans="1:15" x14ac:dyDescent="0.2">
      <c r="E52" s="1">
        <v>43079</v>
      </c>
      <c r="G52" s="1">
        <v>1</v>
      </c>
      <c r="H52" s="1" t="s">
        <v>98</v>
      </c>
    </row>
    <row r="58" spans="1:15" x14ac:dyDescent="0.2">
      <c r="A58" s="1" t="s">
        <v>99</v>
      </c>
      <c r="B58" s="1" t="s">
        <v>100</v>
      </c>
      <c r="C58" s="8" t="s">
        <v>101</v>
      </c>
      <c r="D58" s="8" t="s">
        <v>10</v>
      </c>
      <c r="E58" s="1" t="s">
        <v>102</v>
      </c>
      <c r="F58" s="8" t="s">
        <v>103</v>
      </c>
      <c r="G58" s="1" t="s">
        <v>104</v>
      </c>
      <c r="H58" s="1" t="s">
        <v>105</v>
      </c>
      <c r="I58" s="1" t="s">
        <v>106</v>
      </c>
      <c r="J58" s="8" t="s">
        <v>107</v>
      </c>
      <c r="K58" s="8" t="s">
        <v>108</v>
      </c>
      <c r="L58" s="8" t="s">
        <v>109</v>
      </c>
      <c r="M58" s="8" t="s">
        <v>110</v>
      </c>
      <c r="N58" s="8" t="s">
        <v>111</v>
      </c>
      <c r="O58" s="8" t="s">
        <v>112</v>
      </c>
    </row>
    <row r="59" spans="1:15" x14ac:dyDescent="0.2">
      <c r="A59" s="1">
        <v>1</v>
      </c>
      <c r="B59" s="8">
        <v>521</v>
      </c>
      <c r="C59" s="8" t="s">
        <v>113</v>
      </c>
      <c r="D59" s="8"/>
      <c r="E59" s="7">
        <v>43514</v>
      </c>
      <c r="F59" s="8" t="s">
        <v>114</v>
      </c>
      <c r="G59" s="1">
        <v>180</v>
      </c>
      <c r="H59" s="1" t="s">
        <v>115</v>
      </c>
      <c r="J59" s="8" t="s">
        <v>116</v>
      </c>
      <c r="K59" s="8" t="s">
        <v>117</v>
      </c>
      <c r="L59" s="8" t="s">
        <v>117</v>
      </c>
      <c r="M59" s="8" t="s">
        <v>117</v>
      </c>
      <c r="N59" s="8" t="s">
        <v>117</v>
      </c>
      <c r="O59" s="8" t="s">
        <v>117</v>
      </c>
    </row>
    <row r="67" spans="1:127" x14ac:dyDescent="0.2">
      <c r="A67" s="1" t="s">
        <v>99</v>
      </c>
      <c r="B67" s="1" t="s">
        <v>100</v>
      </c>
      <c r="C67" s="1" t="s">
        <v>101</v>
      </c>
      <c r="D67" s="1" t="s">
        <v>10</v>
      </c>
      <c r="E67" s="1" t="s">
        <v>102</v>
      </c>
      <c r="F67" s="1" t="s">
        <v>103</v>
      </c>
      <c r="G67" s="1" t="s">
        <v>104</v>
      </c>
      <c r="H67" s="1" t="s">
        <v>105</v>
      </c>
      <c r="I67" s="1" t="s">
        <v>106</v>
      </c>
      <c r="J67" s="1" t="s">
        <v>107</v>
      </c>
      <c r="K67" s="1" t="s">
        <v>108</v>
      </c>
      <c r="L67" s="1" t="s">
        <v>109</v>
      </c>
      <c r="M67" s="1" t="s">
        <v>110</v>
      </c>
      <c r="N67" s="1" t="s">
        <v>111</v>
      </c>
      <c r="O67" s="1" t="s">
        <v>112</v>
      </c>
    </row>
    <row r="68" spans="1:127" x14ac:dyDescent="0.2">
      <c r="A68" s="1">
        <v>1333</v>
      </c>
      <c r="B68" s="1">
        <v>40856</v>
      </c>
      <c r="C68" s="1" t="s">
        <v>117</v>
      </c>
      <c r="D68" s="1" t="s">
        <v>120</v>
      </c>
      <c r="E68" s="7">
        <v>44440</v>
      </c>
      <c r="F68" s="1" t="s">
        <v>121</v>
      </c>
      <c r="G68" s="8" t="s">
        <v>121</v>
      </c>
      <c r="H68" s="8" t="s">
        <v>121</v>
      </c>
      <c r="I68" s="8" t="s">
        <v>121</v>
      </c>
      <c r="J68" s="1" t="s">
        <v>122</v>
      </c>
      <c r="K68" s="1" t="s">
        <v>117</v>
      </c>
      <c r="L68" s="1" t="s">
        <v>117</v>
      </c>
      <c r="M68" s="1" t="s">
        <v>117</v>
      </c>
      <c r="N68" s="1" t="s">
        <v>117</v>
      </c>
      <c r="O68" s="1" t="s">
        <v>117</v>
      </c>
    </row>
    <row r="69" spans="1:127" x14ac:dyDescent="0.2">
      <c r="A69" s="1">
        <v>1334</v>
      </c>
      <c r="B69" s="1">
        <v>40856</v>
      </c>
      <c r="C69" s="1" t="s">
        <v>117</v>
      </c>
      <c r="D69" s="1" t="s">
        <v>123</v>
      </c>
      <c r="E69" s="7">
        <v>44442</v>
      </c>
      <c r="F69" s="1" t="s">
        <v>121</v>
      </c>
      <c r="G69" s="1" t="s">
        <v>121</v>
      </c>
      <c r="H69" s="1" t="s">
        <v>121</v>
      </c>
      <c r="I69" s="1" t="s">
        <v>121</v>
      </c>
      <c r="J69" s="1" t="s">
        <v>122</v>
      </c>
      <c r="K69" s="1" t="s">
        <v>117</v>
      </c>
      <c r="L69" s="1" t="s">
        <v>117</v>
      </c>
      <c r="M69" s="1" t="s">
        <v>117</v>
      </c>
      <c r="N69" s="1" t="s">
        <v>117</v>
      </c>
      <c r="O69" s="1" t="s">
        <v>117</v>
      </c>
    </row>
    <row r="70" spans="1:127" x14ac:dyDescent="0.2">
      <c r="A70" s="1">
        <v>1335</v>
      </c>
      <c r="B70" s="1">
        <v>40856</v>
      </c>
      <c r="C70" s="1" t="s">
        <v>117</v>
      </c>
      <c r="D70" s="1" t="s">
        <v>124</v>
      </c>
      <c r="E70" s="7">
        <v>44460</v>
      </c>
      <c r="F70" s="1" t="s">
        <v>121</v>
      </c>
      <c r="G70" s="1" t="s">
        <v>121</v>
      </c>
      <c r="H70" s="1" t="s">
        <v>121</v>
      </c>
      <c r="I70" s="1" t="s">
        <v>121</v>
      </c>
      <c r="J70" s="1" t="s">
        <v>122</v>
      </c>
      <c r="K70" s="1" t="s">
        <v>117</v>
      </c>
      <c r="L70" s="1" t="s">
        <v>117</v>
      </c>
      <c r="M70" s="1" t="s">
        <v>117</v>
      </c>
      <c r="N70" s="1">
        <v>0</v>
      </c>
      <c r="O70" s="1" t="s">
        <v>117</v>
      </c>
    </row>
    <row r="72" spans="1:127" x14ac:dyDescent="0.2">
      <c r="C72" s="1" t="s">
        <v>125</v>
      </c>
      <c r="F72" s="1" t="s">
        <v>126</v>
      </c>
    </row>
    <row r="76" spans="1:127" x14ac:dyDescent="0.2">
      <c r="A76" s="1" t="s">
        <v>127</v>
      </c>
      <c r="B76" s="1" t="s">
        <v>128</v>
      </c>
      <c r="C76" s="1" t="s">
        <v>129</v>
      </c>
      <c r="D76" s="1" t="s">
        <v>130</v>
      </c>
      <c r="E76" s="1" t="s">
        <v>131</v>
      </c>
      <c r="F76" s="1" t="s">
        <v>132</v>
      </c>
      <c r="G76" s="1" t="s">
        <v>133</v>
      </c>
      <c r="H76" s="1" t="s">
        <v>134</v>
      </c>
      <c r="I76" s="1" t="s">
        <v>135</v>
      </c>
      <c r="J76" s="1" t="s">
        <v>136</v>
      </c>
      <c r="K76" s="1" t="s">
        <v>137</v>
      </c>
      <c r="L76" s="1" t="s">
        <v>102</v>
      </c>
      <c r="M76" s="1" t="s">
        <v>138</v>
      </c>
      <c r="N76" s="1" t="s">
        <v>139</v>
      </c>
      <c r="O76" s="1" t="s">
        <v>140</v>
      </c>
      <c r="P76" s="1" t="s">
        <v>141</v>
      </c>
      <c r="Q76" s="1" t="s">
        <v>142</v>
      </c>
      <c r="R76" s="1" t="s">
        <v>143</v>
      </c>
      <c r="S76" s="1" t="s">
        <v>144</v>
      </c>
      <c r="T76" s="1" t="s">
        <v>145</v>
      </c>
      <c r="U76" s="1" t="s">
        <v>146</v>
      </c>
      <c r="V76" s="1" t="s">
        <v>147</v>
      </c>
      <c r="W76" s="1" t="s">
        <v>148</v>
      </c>
      <c r="X76" s="1" t="s">
        <v>149</v>
      </c>
      <c r="Y76" s="1" t="s">
        <v>150</v>
      </c>
      <c r="Z76" s="1" t="s">
        <v>151</v>
      </c>
      <c r="AA76" s="8" t="s">
        <v>152</v>
      </c>
      <c r="AB76" s="1" t="s">
        <v>153</v>
      </c>
      <c r="AC76" s="1" t="s">
        <v>154</v>
      </c>
      <c r="AD76" s="1" t="s">
        <v>155</v>
      </c>
      <c r="AE76" s="1" t="s">
        <v>156</v>
      </c>
      <c r="AF76" s="1" t="s">
        <v>157</v>
      </c>
      <c r="AG76" s="1" t="s">
        <v>158</v>
      </c>
      <c r="AH76" s="1" t="s">
        <v>159</v>
      </c>
      <c r="AI76" s="1" t="s">
        <v>160</v>
      </c>
      <c r="AJ76" s="1" t="s">
        <v>161</v>
      </c>
      <c r="AK76" s="1" t="s">
        <v>162</v>
      </c>
      <c r="AL76" s="1" t="s">
        <v>163</v>
      </c>
      <c r="AM76" s="1" t="s">
        <v>164</v>
      </c>
      <c r="AN76" s="1" t="s">
        <v>165</v>
      </c>
      <c r="AO76" s="1" t="s">
        <v>166</v>
      </c>
      <c r="AP76" s="1" t="s">
        <v>167</v>
      </c>
      <c r="AQ76" s="1" t="s">
        <v>168</v>
      </c>
      <c r="AR76" s="1" t="s">
        <v>169</v>
      </c>
      <c r="AS76" s="1" t="s">
        <v>170</v>
      </c>
      <c r="AT76" s="1" t="s">
        <v>171</v>
      </c>
      <c r="AU76" s="1" t="s">
        <v>172</v>
      </c>
      <c r="AV76" s="1" t="s">
        <v>173</v>
      </c>
      <c r="AW76" s="1" t="s">
        <v>174</v>
      </c>
      <c r="AX76" s="1" t="s">
        <v>175</v>
      </c>
      <c r="AY76" s="1" t="s">
        <v>176</v>
      </c>
      <c r="AZ76" s="1" t="s">
        <v>177</v>
      </c>
      <c r="BA76" s="1" t="s">
        <v>178</v>
      </c>
      <c r="BB76" s="1" t="s">
        <v>101</v>
      </c>
      <c r="BC76" s="1" t="s">
        <v>179</v>
      </c>
      <c r="BD76" s="1" t="s">
        <v>180</v>
      </c>
      <c r="BE76" s="1" t="s">
        <v>181</v>
      </c>
      <c r="BF76" s="1" t="s">
        <v>182</v>
      </c>
      <c r="BG76" s="1" t="s">
        <v>183</v>
      </c>
      <c r="BH76" s="1" t="s">
        <v>184</v>
      </c>
      <c r="BI76" s="1" t="s">
        <v>185</v>
      </c>
      <c r="BJ76" s="1" t="s">
        <v>186</v>
      </c>
      <c r="BK76" s="1" t="s">
        <v>187</v>
      </c>
      <c r="BL76" s="1" t="s">
        <v>188</v>
      </c>
      <c r="BM76" s="1" t="s">
        <v>189</v>
      </c>
      <c r="BN76" s="1" t="s">
        <v>190</v>
      </c>
      <c r="BO76" s="1" t="s">
        <v>191</v>
      </c>
      <c r="BP76" s="1" t="s">
        <v>192</v>
      </c>
      <c r="BQ76" s="1" t="s">
        <v>193</v>
      </c>
      <c r="BR76" s="1" t="s">
        <v>194</v>
      </c>
      <c r="BS76" s="1" t="s">
        <v>195</v>
      </c>
      <c r="BT76" s="1" t="s">
        <v>196</v>
      </c>
      <c r="BU76" s="1" t="s">
        <v>197</v>
      </c>
      <c r="BV76" s="1" t="s">
        <v>198</v>
      </c>
      <c r="BW76" s="1" t="s">
        <v>199</v>
      </c>
      <c r="BX76" s="1" t="s">
        <v>200</v>
      </c>
      <c r="BY76" s="1" t="s">
        <v>201</v>
      </c>
      <c r="BZ76" s="1" t="s">
        <v>202</v>
      </c>
      <c r="CA76" s="1" t="s">
        <v>203</v>
      </c>
      <c r="CB76" s="1" t="s">
        <v>204</v>
      </c>
      <c r="CC76" s="1" t="s">
        <v>205</v>
      </c>
      <c r="CD76" s="1" t="s">
        <v>206</v>
      </c>
      <c r="CE76" s="1" t="s">
        <v>207</v>
      </c>
      <c r="CF76" s="1" t="s">
        <v>208</v>
      </c>
      <c r="CG76" s="1" t="s">
        <v>209</v>
      </c>
      <c r="CH76" s="1" t="s">
        <v>210</v>
      </c>
      <c r="CI76" s="1" t="s">
        <v>211</v>
      </c>
      <c r="CJ76" s="1" t="s">
        <v>212</v>
      </c>
      <c r="CK76" s="8" t="s">
        <v>213</v>
      </c>
      <c r="CL76" s="1" t="s">
        <v>214</v>
      </c>
      <c r="CM76" s="1" t="s">
        <v>215</v>
      </c>
      <c r="CN76" s="1" t="s">
        <v>216</v>
      </c>
      <c r="CO76" s="1" t="s">
        <v>217</v>
      </c>
      <c r="CP76" s="1" t="s">
        <v>218</v>
      </c>
      <c r="CQ76" s="1" t="s">
        <v>95</v>
      </c>
      <c r="CR76" s="1" t="s">
        <v>219</v>
      </c>
      <c r="CS76" s="1" t="s">
        <v>220</v>
      </c>
      <c r="CT76" s="1" t="s">
        <v>221</v>
      </c>
      <c r="CU76" s="1" t="s">
        <v>222</v>
      </c>
      <c r="CV76" s="1" t="s">
        <v>223</v>
      </c>
      <c r="CW76" s="1" t="s">
        <v>224</v>
      </c>
      <c r="CX76" s="1" t="s">
        <v>225</v>
      </c>
      <c r="CY76" s="1" t="s">
        <v>226</v>
      </c>
      <c r="CZ76" s="1" t="s">
        <v>227</v>
      </c>
      <c r="DA76" s="1" t="s">
        <v>228</v>
      </c>
      <c r="DB76" s="1" t="s">
        <v>229</v>
      </c>
      <c r="DC76" s="1" t="s">
        <v>230</v>
      </c>
      <c r="DD76" s="1" t="s">
        <v>231</v>
      </c>
      <c r="DE76" s="1" t="s">
        <v>232</v>
      </c>
      <c r="DF76" s="1" t="s">
        <v>233</v>
      </c>
      <c r="DG76" s="1" t="s">
        <v>234</v>
      </c>
      <c r="DH76" s="1" t="s">
        <v>235</v>
      </c>
      <c r="DI76" s="1" t="s">
        <v>236</v>
      </c>
      <c r="DJ76" s="1" t="s">
        <v>237</v>
      </c>
      <c r="DK76" s="1" t="s">
        <v>238</v>
      </c>
      <c r="DL76" s="1" t="s">
        <v>239</v>
      </c>
      <c r="DM76" s="1" t="s">
        <v>240</v>
      </c>
      <c r="DN76" s="1" t="s">
        <v>241</v>
      </c>
      <c r="DO76" s="1" t="s">
        <v>242</v>
      </c>
      <c r="DP76" s="1" t="s">
        <v>243</v>
      </c>
      <c r="DQ76" s="1" t="s">
        <v>244</v>
      </c>
      <c r="DR76" s="1" t="s">
        <v>245</v>
      </c>
      <c r="DS76" s="1" t="s">
        <v>246</v>
      </c>
      <c r="DT76" s="1" t="s">
        <v>247</v>
      </c>
      <c r="DU76" s="1" t="s">
        <v>248</v>
      </c>
      <c r="DV76" s="1" t="s">
        <v>249</v>
      </c>
      <c r="DW76" s="1" t="s">
        <v>250</v>
      </c>
    </row>
    <row r="77" spans="1:127" x14ac:dyDescent="0.2">
      <c r="A77" s="1">
        <v>40856</v>
      </c>
      <c r="B77" s="1" t="s">
        <v>251</v>
      </c>
      <c r="C77" s="1" t="s">
        <v>252</v>
      </c>
      <c r="D77" s="1">
        <v>3556837</v>
      </c>
      <c r="E77" s="1" t="s">
        <v>253</v>
      </c>
      <c r="F77" s="1" t="s">
        <v>117</v>
      </c>
      <c r="G77" s="1" t="s">
        <v>117</v>
      </c>
      <c r="H77" s="1" t="s">
        <v>117</v>
      </c>
      <c r="I77" s="1" t="s">
        <v>254</v>
      </c>
      <c r="J77" s="1" t="s">
        <v>255</v>
      </c>
      <c r="K77" s="1" t="s">
        <v>117</v>
      </c>
      <c r="L77" s="1" t="s">
        <v>256</v>
      </c>
      <c r="M77" s="1">
        <v>0</v>
      </c>
      <c r="N77" s="1" t="s">
        <v>117</v>
      </c>
      <c r="O77" s="1" t="s">
        <v>117</v>
      </c>
      <c r="P77" s="1" t="s">
        <v>117</v>
      </c>
      <c r="Q77" s="1" t="s">
        <v>117</v>
      </c>
      <c r="R77" s="1" t="s">
        <v>117</v>
      </c>
      <c r="S77" s="1">
        <v>0</v>
      </c>
      <c r="T77" s="1" t="s">
        <v>257</v>
      </c>
      <c r="U77" s="1" t="s">
        <v>258</v>
      </c>
      <c r="V77" s="1" t="s">
        <v>258</v>
      </c>
      <c r="W77" s="1" t="s">
        <v>258</v>
      </c>
      <c r="X77" s="1" t="s">
        <v>258</v>
      </c>
      <c r="Y77" s="1" t="s">
        <v>117</v>
      </c>
      <c r="Z77" s="1" t="s">
        <v>259</v>
      </c>
      <c r="AA77" s="8"/>
      <c r="AB77" s="1" t="s">
        <v>258</v>
      </c>
      <c r="AC77" s="1" t="s">
        <v>258</v>
      </c>
      <c r="AD77" s="1" t="s">
        <v>258</v>
      </c>
      <c r="AE77" s="1" t="s">
        <v>258</v>
      </c>
      <c r="AF77" s="1" t="s">
        <v>117</v>
      </c>
      <c r="AG77" s="1" t="s">
        <v>117</v>
      </c>
      <c r="AH77" s="1" t="s">
        <v>117</v>
      </c>
      <c r="AI77" s="1" t="s">
        <v>117</v>
      </c>
      <c r="AJ77" s="1" t="s">
        <v>117</v>
      </c>
      <c r="AK77" s="1" t="s">
        <v>260</v>
      </c>
      <c r="AL77" s="1" t="s">
        <v>261</v>
      </c>
      <c r="AM77" s="1" t="s">
        <v>117</v>
      </c>
      <c r="AN77" s="1" t="s">
        <v>262</v>
      </c>
      <c r="AO77" s="1" t="s">
        <v>262</v>
      </c>
      <c r="AP77" s="1">
        <v>80299</v>
      </c>
      <c r="AQ77" s="1" t="s">
        <v>117</v>
      </c>
      <c r="AR77" s="1" t="s">
        <v>117</v>
      </c>
      <c r="AS77" s="1" t="s">
        <v>117</v>
      </c>
      <c r="AT77" s="1" t="s">
        <v>117</v>
      </c>
      <c r="AU77" s="1" t="s">
        <v>117</v>
      </c>
      <c r="AV77" s="1" t="s">
        <v>117</v>
      </c>
      <c r="AW77" s="1" t="s">
        <v>258</v>
      </c>
      <c r="AX77" s="1" t="s">
        <v>117</v>
      </c>
      <c r="AY77" s="1" t="s">
        <v>117</v>
      </c>
      <c r="AZ77" s="1" t="s">
        <v>117</v>
      </c>
      <c r="BA77" s="1" t="s">
        <v>117</v>
      </c>
      <c r="BB77" s="1" t="s">
        <v>263</v>
      </c>
      <c r="BC77" s="1" t="s">
        <v>264</v>
      </c>
      <c r="BD77" s="1">
        <v>80299</v>
      </c>
      <c r="BE77" s="1" t="s">
        <v>117</v>
      </c>
      <c r="BF77" s="1">
        <v>80326</v>
      </c>
      <c r="BG77" s="1">
        <v>80326</v>
      </c>
      <c r="BH77" s="1" t="s">
        <v>117</v>
      </c>
      <c r="BI77" s="1" t="s">
        <v>117</v>
      </c>
      <c r="BJ77" s="1" t="s">
        <v>117</v>
      </c>
      <c r="BK77" s="1" t="s">
        <v>263</v>
      </c>
      <c r="BL77" s="1" t="s">
        <v>117</v>
      </c>
      <c r="BM77" s="1">
        <v>2367611</v>
      </c>
      <c r="BN77" s="1" t="s">
        <v>117</v>
      </c>
      <c r="BO77" s="1" t="s">
        <v>117</v>
      </c>
      <c r="BP77" s="1" t="s">
        <v>117</v>
      </c>
      <c r="BQ77" s="1" t="s">
        <v>117</v>
      </c>
      <c r="BR77" s="1" t="s">
        <v>117</v>
      </c>
      <c r="BS77" s="1" t="s">
        <v>263</v>
      </c>
      <c r="BT77" s="1" t="s">
        <v>117</v>
      </c>
      <c r="BU77" s="1" t="s">
        <v>261</v>
      </c>
      <c r="BV77" s="1" t="s">
        <v>257</v>
      </c>
      <c r="BW77" s="1" t="s">
        <v>258</v>
      </c>
      <c r="BX77" s="1" t="s">
        <v>265</v>
      </c>
      <c r="BY77" s="1" t="s">
        <v>266</v>
      </c>
      <c r="BZ77" s="1" t="s">
        <v>267</v>
      </c>
      <c r="CA77" s="1" t="s">
        <v>268</v>
      </c>
      <c r="CB77" s="1" t="s">
        <v>269</v>
      </c>
      <c r="CC77" s="1" t="s">
        <v>270</v>
      </c>
      <c r="CD77" s="1" t="s">
        <v>270</v>
      </c>
      <c r="CE77" s="1" t="s">
        <v>270</v>
      </c>
      <c r="CF77" s="1" t="s">
        <v>117</v>
      </c>
      <c r="CG77" s="7">
        <v>44138</v>
      </c>
      <c r="CH77" s="7">
        <v>44165</v>
      </c>
      <c r="CI77" s="1" t="s">
        <v>258</v>
      </c>
      <c r="CJ77" s="1" t="s">
        <v>270</v>
      </c>
      <c r="CK77" s="8" t="s">
        <v>0</v>
      </c>
      <c r="CL77" s="1" t="s">
        <v>258</v>
      </c>
      <c r="CM77" s="1" t="s">
        <v>258</v>
      </c>
      <c r="CN77" s="1" t="s">
        <v>262</v>
      </c>
      <c r="CO77" s="1" t="s">
        <v>262</v>
      </c>
      <c r="CP77" s="1" t="s">
        <v>262</v>
      </c>
      <c r="CQ77" s="1" t="s">
        <v>262</v>
      </c>
      <c r="CR77" s="1" t="s">
        <v>262</v>
      </c>
      <c r="CS77" s="1" t="s">
        <v>271</v>
      </c>
      <c r="CT77" s="1" t="s">
        <v>117</v>
      </c>
      <c r="CU77" s="1" t="s">
        <v>117</v>
      </c>
      <c r="CV77" s="1" t="s">
        <v>258</v>
      </c>
      <c r="CW77" s="1" t="s">
        <v>258</v>
      </c>
      <c r="CX77" s="1" t="s">
        <v>258</v>
      </c>
      <c r="CY77" s="1" t="s">
        <v>258</v>
      </c>
      <c r="CZ77" s="1" t="s">
        <v>258</v>
      </c>
      <c r="DA77" s="1" t="s">
        <v>272</v>
      </c>
      <c r="DB77" s="1" t="s">
        <v>272</v>
      </c>
      <c r="DC77" s="1" t="s">
        <v>272</v>
      </c>
      <c r="DD77" s="1" t="s">
        <v>117</v>
      </c>
      <c r="DE77" s="1" t="s">
        <v>117</v>
      </c>
      <c r="DF77" s="1" t="s">
        <v>117</v>
      </c>
      <c r="DG77" s="1" t="s">
        <v>117</v>
      </c>
      <c r="DH77" s="1" t="s">
        <v>117</v>
      </c>
      <c r="DJ77" s="1" t="s">
        <v>263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 t="s">
        <v>273</v>
      </c>
      <c r="DR77" s="1" t="s">
        <v>274</v>
      </c>
      <c r="DS77" s="1" t="s">
        <v>258</v>
      </c>
      <c r="DT77" s="1" t="s">
        <v>275</v>
      </c>
      <c r="DU77" s="1" t="s">
        <v>117</v>
      </c>
      <c r="DV77" s="1" t="s">
        <v>117</v>
      </c>
      <c r="DW77" s="1" t="s">
        <v>117</v>
      </c>
    </row>
    <row r="80" spans="1:127" x14ac:dyDescent="0.2">
      <c r="B80" s="4" t="s">
        <v>391</v>
      </c>
      <c r="C80" s="4" t="s">
        <v>3</v>
      </c>
      <c r="D80" s="4" t="s">
        <v>4</v>
      </c>
      <c r="E80" s="4" t="s">
        <v>19</v>
      </c>
      <c r="F80" s="4" t="s">
        <v>20</v>
      </c>
      <c r="G80" s="4" t="s">
        <v>331</v>
      </c>
      <c r="H80" s="4" t="s">
        <v>332</v>
      </c>
      <c r="I80" s="4" t="s">
        <v>334</v>
      </c>
      <c r="J80" s="4" t="s">
        <v>392</v>
      </c>
      <c r="K80" s="4" t="s">
        <v>333</v>
      </c>
      <c r="L80" s="4" t="s">
        <v>213</v>
      </c>
    </row>
    <row r="81" spans="2:12" x14ac:dyDescent="0.2">
      <c r="B81" s="4">
        <v>1</v>
      </c>
      <c r="C81" s="4" t="s">
        <v>393</v>
      </c>
      <c r="D81" s="4" t="s">
        <v>394</v>
      </c>
      <c r="E81" s="4" t="s">
        <v>395</v>
      </c>
      <c r="F81" s="4" t="s">
        <v>396</v>
      </c>
      <c r="G81" s="4">
        <v>1</v>
      </c>
      <c r="H81" s="4">
        <v>1</v>
      </c>
      <c r="I81" s="4">
        <v>1</v>
      </c>
      <c r="J81" s="4" t="s">
        <v>117</v>
      </c>
      <c r="K81" s="4">
        <v>1</v>
      </c>
      <c r="L81" s="4" t="s">
        <v>0</v>
      </c>
    </row>
    <row r="82" spans="2:12" x14ac:dyDescent="0.2">
      <c r="B82" s="4">
        <v>2</v>
      </c>
      <c r="C82" s="4" t="s">
        <v>397</v>
      </c>
      <c r="D82" s="4" t="s">
        <v>398</v>
      </c>
      <c r="E82" s="4" t="s">
        <v>399</v>
      </c>
      <c r="F82" s="4" t="s">
        <v>400</v>
      </c>
      <c r="G82" s="4">
        <v>1</v>
      </c>
      <c r="H82" s="4">
        <v>1</v>
      </c>
      <c r="I82" s="4">
        <v>1</v>
      </c>
      <c r="J82" s="4">
        <v>0</v>
      </c>
      <c r="K82" s="4">
        <v>1</v>
      </c>
      <c r="L82" s="4" t="s">
        <v>0</v>
      </c>
    </row>
    <row r="83" spans="2:12" x14ac:dyDescent="0.2">
      <c r="B83" s="4">
        <v>112</v>
      </c>
      <c r="C83" s="4" t="s">
        <v>401</v>
      </c>
      <c r="D83" s="4" t="s">
        <v>402</v>
      </c>
      <c r="E83" s="4" t="s">
        <v>403</v>
      </c>
      <c r="F83" s="4" t="s">
        <v>404</v>
      </c>
      <c r="G83" s="4">
        <v>1</v>
      </c>
      <c r="H83" s="4">
        <v>1</v>
      </c>
      <c r="I83" s="4">
        <v>1</v>
      </c>
      <c r="J83" s="4" t="s">
        <v>117</v>
      </c>
      <c r="K83" s="4">
        <v>1</v>
      </c>
      <c r="L83" s="4" t="s">
        <v>405</v>
      </c>
    </row>
    <row r="84" spans="2:12" x14ac:dyDescent="0.2">
      <c r="B84" s="4">
        <v>129</v>
      </c>
      <c r="C84" s="4" t="s">
        <v>406</v>
      </c>
      <c r="D84" s="4" t="s">
        <v>407</v>
      </c>
      <c r="E84" s="4" t="s">
        <v>408</v>
      </c>
      <c r="F84" s="4" t="s">
        <v>409</v>
      </c>
      <c r="G84" s="4">
        <v>1</v>
      </c>
      <c r="H84" s="4">
        <v>0</v>
      </c>
      <c r="I84" s="4">
        <v>1</v>
      </c>
      <c r="J84" s="4" t="s">
        <v>117</v>
      </c>
      <c r="K84" s="4">
        <v>0</v>
      </c>
      <c r="L84" s="4" t="s">
        <v>405</v>
      </c>
    </row>
    <row r="85" spans="2:12" x14ac:dyDescent="0.2">
      <c r="B85" s="4">
        <v>172</v>
      </c>
      <c r="C85" s="4" t="s">
        <v>21</v>
      </c>
      <c r="D85" s="4" t="s">
        <v>22</v>
      </c>
      <c r="E85" s="4" t="s">
        <v>23</v>
      </c>
      <c r="F85" s="4" t="s">
        <v>24</v>
      </c>
      <c r="G85" s="4">
        <v>1</v>
      </c>
      <c r="H85" s="4">
        <v>1</v>
      </c>
      <c r="I85" s="4">
        <v>1</v>
      </c>
      <c r="J85" s="4">
        <v>1</v>
      </c>
      <c r="K85" s="4">
        <v>1</v>
      </c>
      <c r="L85" s="4" t="s">
        <v>0</v>
      </c>
    </row>
    <row r="86" spans="2:12" x14ac:dyDescent="0.2">
      <c r="B86" s="4">
        <v>173</v>
      </c>
      <c r="C86" s="4" t="s">
        <v>25</v>
      </c>
      <c r="D86" s="4" t="s">
        <v>26</v>
      </c>
      <c r="E86" s="4" t="s">
        <v>27</v>
      </c>
      <c r="F86" s="4" t="s">
        <v>28</v>
      </c>
      <c r="G86" s="4">
        <v>1</v>
      </c>
      <c r="H86" s="4">
        <v>0</v>
      </c>
      <c r="I86" s="4">
        <v>1</v>
      </c>
      <c r="J86" s="4" t="s">
        <v>117</v>
      </c>
      <c r="K86" s="4">
        <v>0</v>
      </c>
      <c r="L86" s="4" t="s">
        <v>0</v>
      </c>
    </row>
    <row r="87" spans="2:12" x14ac:dyDescent="0.2">
      <c r="B87" s="4">
        <v>195</v>
      </c>
      <c r="C87" s="4" t="s">
        <v>410</v>
      </c>
      <c r="D87" s="4" t="s">
        <v>411</v>
      </c>
      <c r="E87" s="4" t="s">
        <v>412</v>
      </c>
      <c r="F87" s="4" t="s">
        <v>413</v>
      </c>
      <c r="G87" s="4">
        <v>1</v>
      </c>
      <c r="H87" s="4">
        <v>1</v>
      </c>
      <c r="I87" s="4">
        <v>1</v>
      </c>
      <c r="J87" s="4" t="s">
        <v>117</v>
      </c>
      <c r="K87" s="4">
        <v>1</v>
      </c>
      <c r="L87" s="4" t="s">
        <v>0</v>
      </c>
    </row>
    <row r="88" spans="2:12" x14ac:dyDescent="0.2">
      <c r="B88" s="4">
        <v>197</v>
      </c>
      <c r="C88" s="4" t="s">
        <v>414</v>
      </c>
      <c r="D88" s="4">
        <v>321654</v>
      </c>
      <c r="E88" s="4" t="s">
        <v>415</v>
      </c>
      <c r="F88" s="4" t="s">
        <v>70</v>
      </c>
      <c r="G88" s="4">
        <v>1</v>
      </c>
      <c r="H88" s="4">
        <v>0</v>
      </c>
      <c r="I88" s="4">
        <v>1</v>
      </c>
      <c r="J88" s="4" t="s">
        <v>117</v>
      </c>
      <c r="K88" s="4">
        <v>0</v>
      </c>
      <c r="L88" s="4" t="s">
        <v>0</v>
      </c>
    </row>
    <row r="89" spans="2:12" x14ac:dyDescent="0.2">
      <c r="B89" s="4">
        <v>200</v>
      </c>
      <c r="C89" s="4" t="s">
        <v>416</v>
      </c>
      <c r="D89" s="4" t="s">
        <v>417</v>
      </c>
      <c r="E89" s="4" t="s">
        <v>418</v>
      </c>
      <c r="F89" s="4" t="s">
        <v>419</v>
      </c>
      <c r="G89" s="4">
        <v>1</v>
      </c>
      <c r="H89" s="4">
        <v>0</v>
      </c>
      <c r="I89" s="4">
        <v>1</v>
      </c>
      <c r="J89" s="4" t="s">
        <v>117</v>
      </c>
      <c r="K89" s="4">
        <v>0</v>
      </c>
      <c r="L89" s="4" t="s">
        <v>0</v>
      </c>
    </row>
    <row r="90" spans="2:12" x14ac:dyDescent="0.2">
      <c r="B90" s="4">
        <v>201</v>
      </c>
      <c r="C90" s="4" t="s">
        <v>420</v>
      </c>
      <c r="D90" s="4" t="s">
        <v>421</v>
      </c>
      <c r="E90" s="4" t="s">
        <v>422</v>
      </c>
      <c r="F90" s="4" t="s">
        <v>423</v>
      </c>
      <c r="G90" s="4">
        <v>1</v>
      </c>
      <c r="H90" s="4">
        <v>0</v>
      </c>
      <c r="I90" s="4">
        <v>1</v>
      </c>
      <c r="J90" s="4" t="s">
        <v>117</v>
      </c>
      <c r="K90" s="4">
        <v>0</v>
      </c>
      <c r="L90" s="4" t="s">
        <v>0</v>
      </c>
    </row>
    <row r="91" spans="2:12" x14ac:dyDescent="0.2">
      <c r="B91" s="4">
        <v>203</v>
      </c>
      <c r="C91" s="4" t="s">
        <v>424</v>
      </c>
      <c r="D91" s="4" t="s">
        <v>425</v>
      </c>
      <c r="E91" s="4" t="s">
        <v>426</v>
      </c>
      <c r="F91" s="4" t="s">
        <v>427</v>
      </c>
      <c r="G91" s="4">
        <v>1</v>
      </c>
      <c r="H91" s="4">
        <v>1</v>
      </c>
      <c r="I91" s="4">
        <v>1</v>
      </c>
      <c r="J91" s="4" t="s">
        <v>117</v>
      </c>
      <c r="K91" s="4">
        <v>1</v>
      </c>
      <c r="L91" s="4" t="s">
        <v>0</v>
      </c>
    </row>
    <row r="92" spans="2:12" x14ac:dyDescent="0.2">
      <c r="B92" s="4">
        <v>280</v>
      </c>
      <c r="C92" s="4" t="s">
        <v>428</v>
      </c>
      <c r="D92" s="4" t="s">
        <v>429</v>
      </c>
      <c r="E92" s="4" t="s">
        <v>422</v>
      </c>
      <c r="F92" s="4" t="s">
        <v>423</v>
      </c>
      <c r="G92" s="4">
        <v>1</v>
      </c>
      <c r="H92" s="4">
        <v>0</v>
      </c>
      <c r="I92" s="4">
        <v>1</v>
      </c>
      <c r="J92" s="4" t="s">
        <v>117</v>
      </c>
      <c r="K92" s="4">
        <v>0</v>
      </c>
      <c r="L92" s="4" t="s">
        <v>114</v>
      </c>
    </row>
    <row r="93" spans="2:12" x14ac:dyDescent="0.2">
      <c r="B93" s="4">
        <v>292</v>
      </c>
      <c r="C93" s="4" t="s">
        <v>67</v>
      </c>
      <c r="D93" s="4" t="s">
        <v>68</v>
      </c>
      <c r="E93" s="4" t="s">
        <v>69</v>
      </c>
      <c r="F93" s="4" t="s">
        <v>70</v>
      </c>
      <c r="G93" s="4">
        <v>1</v>
      </c>
      <c r="H93" s="4">
        <v>0</v>
      </c>
      <c r="I93" s="4">
        <v>0</v>
      </c>
      <c r="J93" s="4" t="s">
        <v>117</v>
      </c>
      <c r="K93" s="4">
        <v>0</v>
      </c>
      <c r="L93" s="4" t="s">
        <v>0</v>
      </c>
    </row>
    <row r="94" spans="2:12" x14ac:dyDescent="0.2">
      <c r="B94" s="4">
        <v>294</v>
      </c>
      <c r="C94" s="4" t="s">
        <v>430</v>
      </c>
      <c r="D94" s="4" t="s">
        <v>430</v>
      </c>
      <c r="E94" s="4" t="s">
        <v>431</v>
      </c>
      <c r="F94" s="4" t="s">
        <v>432</v>
      </c>
      <c r="G94" s="4">
        <v>1</v>
      </c>
      <c r="H94" s="4">
        <v>0</v>
      </c>
      <c r="I94" s="4">
        <v>1</v>
      </c>
      <c r="J94" s="4" t="s">
        <v>117</v>
      </c>
      <c r="K94" s="4">
        <v>0</v>
      </c>
      <c r="L94" s="4" t="s">
        <v>114</v>
      </c>
    </row>
    <row r="95" spans="2:12" x14ac:dyDescent="0.2">
      <c r="B95" s="4">
        <v>303</v>
      </c>
      <c r="C95" s="4" t="s">
        <v>433</v>
      </c>
      <c r="D95" s="4" t="s">
        <v>433</v>
      </c>
      <c r="E95" s="4" t="s">
        <v>434</v>
      </c>
      <c r="F95" s="4" t="s">
        <v>435</v>
      </c>
      <c r="G95" s="4">
        <v>1</v>
      </c>
      <c r="H95" s="4">
        <v>1</v>
      </c>
      <c r="I95" s="4">
        <v>1</v>
      </c>
      <c r="J95" s="4" t="s">
        <v>117</v>
      </c>
      <c r="K95" s="4">
        <v>1</v>
      </c>
      <c r="L95" s="4" t="s">
        <v>405</v>
      </c>
    </row>
    <row r="96" spans="2:12" x14ac:dyDescent="0.2">
      <c r="B96" s="4">
        <v>323</v>
      </c>
      <c r="C96" s="4" t="s">
        <v>436</v>
      </c>
      <c r="D96" s="4" t="s">
        <v>436</v>
      </c>
      <c r="E96" s="4" t="s">
        <v>437</v>
      </c>
      <c r="F96" s="4" t="s">
        <v>438</v>
      </c>
      <c r="G96" s="4">
        <v>1</v>
      </c>
      <c r="H96" s="4">
        <v>0</v>
      </c>
      <c r="I96" s="4">
        <v>1</v>
      </c>
      <c r="J96" s="4" t="s">
        <v>117</v>
      </c>
      <c r="K96" s="4">
        <v>0</v>
      </c>
      <c r="L96" s="4" t="s">
        <v>0</v>
      </c>
    </row>
    <row r="97" spans="2:12" x14ac:dyDescent="0.2">
      <c r="B97" s="4">
        <v>336</v>
      </c>
      <c r="C97" s="4" t="s">
        <v>439</v>
      </c>
      <c r="D97" s="4" t="s">
        <v>439</v>
      </c>
      <c r="E97" s="4" t="s">
        <v>440</v>
      </c>
      <c r="F97" s="4" t="s">
        <v>441</v>
      </c>
      <c r="G97" s="4">
        <v>1</v>
      </c>
      <c r="H97" s="4">
        <v>0</v>
      </c>
      <c r="I97" s="4">
        <v>1</v>
      </c>
      <c r="J97" s="4" t="s">
        <v>117</v>
      </c>
      <c r="K97" s="4">
        <v>0</v>
      </c>
      <c r="L97" s="4" t="s">
        <v>0</v>
      </c>
    </row>
    <row r="98" spans="2:12" x14ac:dyDescent="0.2">
      <c r="B98" s="4">
        <v>337</v>
      </c>
      <c r="C98" s="4" t="s">
        <v>442</v>
      </c>
      <c r="D98" s="4" t="s">
        <v>442</v>
      </c>
      <c r="E98" s="4" t="s">
        <v>443</v>
      </c>
      <c r="F98" s="4" t="s">
        <v>444</v>
      </c>
      <c r="G98" s="4">
        <v>1</v>
      </c>
      <c r="H98" s="4">
        <v>1</v>
      </c>
      <c r="I98" s="4">
        <v>0</v>
      </c>
      <c r="J98" s="4">
        <v>0</v>
      </c>
      <c r="K98" s="4">
        <v>0</v>
      </c>
      <c r="L98" s="4" t="s">
        <v>405</v>
      </c>
    </row>
    <row r="100" spans="2:12" x14ac:dyDescent="0.2">
      <c r="D100" s="5" t="s">
        <v>445</v>
      </c>
      <c r="E100" s="5" t="s">
        <v>446</v>
      </c>
      <c r="F100" s="5" t="s">
        <v>213</v>
      </c>
      <c r="G100" s="5" t="s">
        <v>447</v>
      </c>
      <c r="H100" s="5" t="s">
        <v>448</v>
      </c>
    </row>
    <row r="101" spans="2:12" x14ac:dyDescent="0.2">
      <c r="D101" s="4" t="s">
        <v>21</v>
      </c>
      <c r="E101" s="4" t="s">
        <v>22</v>
      </c>
      <c r="F101" s="4" t="s">
        <v>0</v>
      </c>
      <c r="G101" s="4">
        <v>772</v>
      </c>
      <c r="H101" s="18">
        <v>4784</v>
      </c>
    </row>
    <row r="102" spans="2:12" x14ac:dyDescent="0.2">
      <c r="D102" s="4" t="s">
        <v>401</v>
      </c>
      <c r="E102" s="4" t="s">
        <v>402</v>
      </c>
      <c r="F102" s="4" t="s">
        <v>405</v>
      </c>
      <c r="G102" s="4">
        <v>1604</v>
      </c>
      <c r="H102" s="18">
        <v>1838</v>
      </c>
    </row>
    <row r="103" spans="2:12" x14ac:dyDescent="0.2">
      <c r="D103" s="4" t="s">
        <v>428</v>
      </c>
      <c r="E103" s="4" t="s">
        <v>429</v>
      </c>
      <c r="F103" s="4" t="s">
        <v>114</v>
      </c>
      <c r="G103" s="4">
        <v>3</v>
      </c>
      <c r="H103" s="18">
        <v>2475</v>
      </c>
    </row>
  </sheetData>
  <sortState xmlns:xlrd2="http://schemas.microsoft.com/office/spreadsheetml/2017/richdata2" ref="N2:P6">
    <sortCondition ref="N2:N6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1027B-3823-49A6-9BF1-1401BFE297EB}">
  <dimension ref="A1:A58"/>
  <sheetViews>
    <sheetView topLeftCell="A40" workbookViewId="0">
      <selection activeCell="A52" sqref="A52:A54"/>
    </sheetView>
  </sheetViews>
  <sheetFormatPr baseColWidth="10" defaultRowHeight="14.4" x14ac:dyDescent="0.3"/>
  <sheetData>
    <row r="1" spans="1:1" x14ac:dyDescent="0.3">
      <c r="A1" t="s">
        <v>82</v>
      </c>
    </row>
    <row r="2" spans="1:1" x14ac:dyDescent="0.3">
      <c r="A2" t="s">
        <v>83</v>
      </c>
    </row>
    <row r="3" spans="1:1" x14ac:dyDescent="0.3">
      <c r="A3" t="s">
        <v>84</v>
      </c>
    </row>
    <row r="4" spans="1:1" x14ac:dyDescent="0.3">
      <c r="A4" t="s">
        <v>85</v>
      </c>
    </row>
    <row r="5" spans="1:1" x14ac:dyDescent="0.3">
      <c r="A5" t="s">
        <v>86</v>
      </c>
    </row>
    <row r="6" spans="1:1" x14ac:dyDescent="0.3">
      <c r="A6" t="s">
        <v>87</v>
      </c>
    </row>
    <row r="7" spans="1:1" x14ac:dyDescent="0.3">
      <c r="A7" t="s">
        <v>88</v>
      </c>
    </row>
    <row r="8" spans="1:1" x14ac:dyDescent="0.3">
      <c r="A8" t="s">
        <v>89</v>
      </c>
    </row>
    <row r="9" spans="1:1" x14ac:dyDescent="0.3">
      <c r="A9" t="s">
        <v>90</v>
      </c>
    </row>
    <row r="12" spans="1:1" x14ac:dyDescent="0.3">
      <c r="A12" t="s">
        <v>82</v>
      </c>
    </row>
    <row r="13" spans="1:1" x14ac:dyDescent="0.3">
      <c r="A13" t="s">
        <v>83</v>
      </c>
    </row>
    <row r="14" spans="1:1" x14ac:dyDescent="0.3">
      <c r="A14" t="s">
        <v>91</v>
      </c>
    </row>
    <row r="16" spans="1:1" x14ac:dyDescent="0.3">
      <c r="A16" t="s">
        <v>92</v>
      </c>
    </row>
    <row r="17" spans="1:1" x14ac:dyDescent="0.3">
      <c r="A17" t="s">
        <v>83</v>
      </c>
    </row>
    <row r="18" spans="1:1" x14ac:dyDescent="0.3">
      <c r="A18" t="s">
        <v>93</v>
      </c>
    </row>
    <row r="19" spans="1:1" x14ac:dyDescent="0.3">
      <c r="A19" t="s">
        <v>94</v>
      </c>
    </row>
    <row r="21" spans="1:1" x14ac:dyDescent="0.3">
      <c r="A21" t="s">
        <v>307</v>
      </c>
    </row>
    <row r="22" spans="1:1" x14ac:dyDescent="0.3">
      <c r="A22" t="s">
        <v>308</v>
      </c>
    </row>
    <row r="23" spans="1:1" x14ac:dyDescent="0.3">
      <c r="A23" t="s">
        <v>309</v>
      </c>
    </row>
    <row r="25" spans="1:1" x14ac:dyDescent="0.3">
      <c r="A25" t="s">
        <v>310</v>
      </c>
    </row>
    <row r="26" spans="1:1" x14ac:dyDescent="0.3">
      <c r="A26" t="s">
        <v>311</v>
      </c>
    </row>
    <row r="27" spans="1:1" x14ac:dyDescent="0.3">
      <c r="A27" t="s">
        <v>312</v>
      </c>
    </row>
    <row r="29" spans="1:1" x14ac:dyDescent="0.3">
      <c r="A29" t="s">
        <v>310</v>
      </c>
    </row>
    <row r="30" spans="1:1" x14ac:dyDescent="0.3">
      <c r="A30" t="s">
        <v>311</v>
      </c>
    </row>
    <row r="31" spans="1:1" x14ac:dyDescent="0.3">
      <c r="A31" t="s">
        <v>313</v>
      </c>
    </row>
    <row r="33" spans="1:1" x14ac:dyDescent="0.3">
      <c r="A33" t="s">
        <v>314</v>
      </c>
    </row>
    <row r="35" spans="1:1" x14ac:dyDescent="0.3">
      <c r="A35" t="s">
        <v>310</v>
      </c>
    </row>
    <row r="36" spans="1:1" x14ac:dyDescent="0.3">
      <c r="A36" t="s">
        <v>311</v>
      </c>
    </row>
    <row r="37" spans="1:1" x14ac:dyDescent="0.3">
      <c r="A37" t="s">
        <v>315</v>
      </c>
    </row>
    <row r="39" spans="1:1" x14ac:dyDescent="0.3">
      <c r="A39" t="s">
        <v>316</v>
      </c>
    </row>
    <row r="40" spans="1:1" x14ac:dyDescent="0.3">
      <c r="A40" t="s">
        <v>317</v>
      </c>
    </row>
    <row r="42" spans="1:1" x14ac:dyDescent="0.3">
      <c r="A42" t="s">
        <v>297</v>
      </c>
    </row>
    <row r="43" spans="1:1" x14ac:dyDescent="0.3">
      <c r="A43" t="e" cm="1">
        <f t="array" ref="A43">--Tabla ClientesCausantes datos filiatorio</f>
        <v>#NAME?</v>
      </c>
    </row>
    <row r="44" spans="1:1" x14ac:dyDescent="0.3">
      <c r="A44" t="s">
        <v>298</v>
      </c>
    </row>
    <row r="45" spans="1:1" x14ac:dyDescent="0.3">
      <c r="A45" t="s">
        <v>318</v>
      </c>
    </row>
    <row r="47" spans="1:1" x14ac:dyDescent="0.3">
      <c r="A47" t="s">
        <v>298</v>
      </c>
    </row>
    <row r="48" spans="1:1" x14ac:dyDescent="0.3">
      <c r="A48" t="s">
        <v>299</v>
      </c>
    </row>
    <row r="50" spans="1:1" x14ac:dyDescent="0.3">
      <c r="A50" t="e" cm="1">
        <f t="array" ref="A50">--Stock de TablaCausantes</f>
        <v>#NAME?</v>
      </c>
    </row>
    <row r="51" spans="1:1" x14ac:dyDescent="0.3">
      <c r="A51" t="e" cm="1">
        <f t="array" ref="A51">--PPR = Personal Propio Rowing</f>
        <v>#NAME?</v>
      </c>
    </row>
    <row r="52" spans="1:1" x14ac:dyDescent="0.3">
      <c r="A52" t="s">
        <v>319</v>
      </c>
    </row>
    <row r="53" spans="1:1" x14ac:dyDescent="0.3">
      <c r="A53" t="s">
        <v>320</v>
      </c>
    </row>
    <row r="54" spans="1:1" x14ac:dyDescent="0.3">
      <c r="A54" t="s">
        <v>321</v>
      </c>
    </row>
    <row r="56" spans="1:1" x14ac:dyDescent="0.3">
      <c r="A56" t="s">
        <v>322</v>
      </c>
    </row>
    <row r="57" spans="1:1" x14ac:dyDescent="0.3">
      <c r="A57" t="s">
        <v>314</v>
      </c>
    </row>
    <row r="58" spans="1:1" x14ac:dyDescent="0.3">
      <c r="A58" t="s">
        <v>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09581-F76F-4A43-A4A5-3D9FED0B38BB}">
  <dimension ref="B2:J28"/>
  <sheetViews>
    <sheetView workbookViewId="0">
      <selection activeCell="D1" sqref="D1"/>
    </sheetView>
  </sheetViews>
  <sheetFormatPr baseColWidth="10" defaultRowHeight="14.4" x14ac:dyDescent="0.3"/>
  <cols>
    <col min="3" max="3" width="24.44140625" bestFit="1" customWidth="1"/>
    <col min="4" max="4" width="24" bestFit="1" customWidth="1"/>
    <col min="6" max="6" width="20.33203125" bestFit="1" customWidth="1"/>
    <col min="7" max="7" width="23.77734375" bestFit="1" customWidth="1"/>
  </cols>
  <sheetData>
    <row r="2" spans="2:10" x14ac:dyDescent="0.3">
      <c r="B2" s="12" t="s">
        <v>95</v>
      </c>
      <c r="C2" s="12" t="s">
        <v>6</v>
      </c>
    </row>
    <row r="3" spans="2:10" x14ac:dyDescent="0.3">
      <c r="C3" t="s">
        <v>296</v>
      </c>
    </row>
    <row r="4" spans="2:10" s="13" customFormat="1" x14ac:dyDescent="0.3"/>
    <row r="5" spans="2:10" x14ac:dyDescent="0.3">
      <c r="B5" t="s">
        <v>276</v>
      </c>
      <c r="C5" t="s">
        <v>295</v>
      </c>
      <c r="I5" s="9" t="s">
        <v>278</v>
      </c>
      <c r="J5" s="10" t="s">
        <v>279</v>
      </c>
    </row>
    <row r="6" spans="2:10" x14ac:dyDescent="0.3">
      <c r="C6" t="s">
        <v>284</v>
      </c>
      <c r="I6" s="9"/>
      <c r="J6" s="10" t="s">
        <v>280</v>
      </c>
    </row>
    <row r="7" spans="2:10" x14ac:dyDescent="0.3">
      <c r="D7" t="s">
        <v>285</v>
      </c>
      <c r="E7" s="11" t="s">
        <v>287</v>
      </c>
      <c r="F7" s="11" t="s">
        <v>288</v>
      </c>
      <c r="G7" s="11"/>
      <c r="H7" s="11"/>
      <c r="I7" s="9"/>
      <c r="J7" s="10" t="s">
        <v>281</v>
      </c>
    </row>
    <row r="8" spans="2:10" x14ac:dyDescent="0.3">
      <c r="D8" t="s">
        <v>286</v>
      </c>
      <c r="E8" s="11" t="s">
        <v>287</v>
      </c>
      <c r="F8" s="11" t="s">
        <v>289</v>
      </c>
      <c r="I8" s="9"/>
      <c r="J8" s="10" t="s">
        <v>282</v>
      </c>
    </row>
    <row r="9" spans="2:10" x14ac:dyDescent="0.3">
      <c r="E9" s="11" t="s">
        <v>287</v>
      </c>
      <c r="F9" t="s">
        <v>290</v>
      </c>
      <c r="G9" t="s">
        <v>291</v>
      </c>
      <c r="I9" s="9"/>
      <c r="J9" s="10" t="s">
        <v>283</v>
      </c>
    </row>
    <row r="10" spans="2:10" x14ac:dyDescent="0.3">
      <c r="G10" t="s">
        <v>292</v>
      </c>
      <c r="I10" s="9"/>
    </row>
    <row r="11" spans="2:10" x14ac:dyDescent="0.3">
      <c r="G11" t="s">
        <v>293</v>
      </c>
      <c r="I11" s="9"/>
    </row>
    <row r="12" spans="2:10" x14ac:dyDescent="0.3">
      <c r="G12" t="s">
        <v>95</v>
      </c>
      <c r="I12" s="9"/>
    </row>
    <row r="13" spans="2:10" x14ac:dyDescent="0.3">
      <c r="G13" t="s">
        <v>294</v>
      </c>
      <c r="I13" s="9"/>
    </row>
    <row r="14" spans="2:10" x14ac:dyDescent="0.3">
      <c r="I14" s="9"/>
    </row>
    <row r="15" spans="2:10" x14ac:dyDescent="0.3">
      <c r="B15" t="s">
        <v>297</v>
      </c>
      <c r="I15" s="9"/>
    </row>
    <row r="16" spans="2:10" x14ac:dyDescent="0.3">
      <c r="B16" s="11" t="s">
        <v>300</v>
      </c>
      <c r="I16" s="9"/>
    </row>
    <row r="17" spans="2:9" x14ac:dyDescent="0.3">
      <c r="B17" t="s">
        <v>298</v>
      </c>
      <c r="I17" s="9"/>
    </row>
    <row r="18" spans="2:9" x14ac:dyDescent="0.3">
      <c r="B18" t="s">
        <v>299</v>
      </c>
      <c r="I18" s="9"/>
    </row>
    <row r="19" spans="2:9" x14ac:dyDescent="0.3">
      <c r="C19" t="s">
        <v>301</v>
      </c>
      <c r="I19" s="9"/>
    </row>
    <row r="20" spans="2:9" x14ac:dyDescent="0.3">
      <c r="I20" s="9"/>
    </row>
    <row r="21" spans="2:9" x14ac:dyDescent="0.3">
      <c r="B21" s="11" t="s">
        <v>304</v>
      </c>
      <c r="I21" s="9"/>
    </row>
    <row r="22" spans="2:9" x14ac:dyDescent="0.3">
      <c r="B22" s="11" t="s">
        <v>305</v>
      </c>
      <c r="I22" s="9"/>
    </row>
    <row r="23" spans="2:9" x14ac:dyDescent="0.3">
      <c r="B23" t="s">
        <v>302</v>
      </c>
      <c r="F23" t="s">
        <v>335</v>
      </c>
      <c r="I23" s="9"/>
    </row>
    <row r="24" spans="2:9" x14ac:dyDescent="0.3">
      <c r="B24" t="s">
        <v>303</v>
      </c>
      <c r="I24" s="9"/>
    </row>
    <row r="25" spans="2:9" x14ac:dyDescent="0.3">
      <c r="C25" t="s">
        <v>306</v>
      </c>
      <c r="I25" s="9"/>
    </row>
    <row r="26" spans="2:9" x14ac:dyDescent="0.3">
      <c r="I26" s="9"/>
    </row>
    <row r="27" spans="2:9" s="13" customFormat="1" x14ac:dyDescent="0.3">
      <c r="I27" s="14"/>
    </row>
    <row r="28" spans="2:9" x14ac:dyDescent="0.3">
      <c r="B28" t="s">
        <v>277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9B67C-EF7C-4461-A7C8-A96F5D2251E6}">
  <dimension ref="A1:O31"/>
  <sheetViews>
    <sheetView topLeftCell="A8" workbookViewId="0">
      <selection activeCell="F36" sqref="F36"/>
    </sheetView>
  </sheetViews>
  <sheetFormatPr baseColWidth="10" defaultRowHeight="14.4" x14ac:dyDescent="0.3"/>
  <cols>
    <col min="2" max="2" width="21.44140625" bestFit="1" customWidth="1"/>
  </cols>
  <sheetData>
    <row r="1" spans="1:15" x14ac:dyDescent="0.3">
      <c r="A1" t="s">
        <v>344</v>
      </c>
      <c r="D1" t="s">
        <v>347</v>
      </c>
      <c r="O1" t="s">
        <v>378</v>
      </c>
    </row>
    <row r="2" spans="1:15" x14ac:dyDescent="0.3">
      <c r="B2" t="s">
        <v>345</v>
      </c>
      <c r="D2" t="s">
        <v>348</v>
      </c>
      <c r="E2" t="s">
        <v>349</v>
      </c>
      <c r="G2" s="12" t="s">
        <v>350</v>
      </c>
      <c r="H2" s="12" t="s">
        <v>351</v>
      </c>
      <c r="I2" t="s">
        <v>352</v>
      </c>
      <c r="O2" t="s">
        <v>379</v>
      </c>
    </row>
    <row r="3" spans="1:15" x14ac:dyDescent="0.3">
      <c r="B3" t="s">
        <v>346</v>
      </c>
      <c r="O3" t="s">
        <v>380</v>
      </c>
    </row>
    <row r="4" spans="1:15" x14ac:dyDescent="0.3">
      <c r="G4" t="s">
        <v>356</v>
      </c>
      <c r="H4" s="12" t="s">
        <v>377</v>
      </c>
      <c r="I4" s="12"/>
      <c r="J4" s="12"/>
      <c r="K4" s="12"/>
      <c r="L4" s="12"/>
      <c r="M4" s="12"/>
    </row>
    <row r="5" spans="1:15" x14ac:dyDescent="0.3">
      <c r="O5" t="s">
        <v>388</v>
      </c>
    </row>
    <row r="6" spans="1:15" x14ac:dyDescent="0.3">
      <c r="G6" t="s">
        <v>357</v>
      </c>
      <c r="H6" t="s">
        <v>358</v>
      </c>
      <c r="J6" t="s">
        <v>362</v>
      </c>
      <c r="K6" t="s">
        <v>363</v>
      </c>
      <c r="O6" t="s">
        <v>311</v>
      </c>
    </row>
    <row r="7" spans="1:15" x14ac:dyDescent="0.3">
      <c r="K7" t="s">
        <v>364</v>
      </c>
      <c r="O7" t="s">
        <v>389</v>
      </c>
    </row>
    <row r="8" spans="1:15" x14ac:dyDescent="0.3">
      <c r="K8" t="s">
        <v>365</v>
      </c>
    </row>
    <row r="9" spans="1:15" x14ac:dyDescent="0.3">
      <c r="K9" t="s">
        <v>366</v>
      </c>
      <c r="O9" t="s">
        <v>378</v>
      </c>
    </row>
    <row r="10" spans="1:15" x14ac:dyDescent="0.3">
      <c r="K10" t="s">
        <v>367</v>
      </c>
      <c r="O10" t="s">
        <v>379</v>
      </c>
    </row>
    <row r="11" spans="1:15" x14ac:dyDescent="0.3">
      <c r="K11" t="s">
        <v>368</v>
      </c>
      <c r="O11" t="s">
        <v>381</v>
      </c>
    </row>
    <row r="12" spans="1:15" x14ac:dyDescent="0.3">
      <c r="K12" t="s">
        <v>369</v>
      </c>
    </row>
    <row r="14" spans="1:15" x14ac:dyDescent="0.3">
      <c r="J14" t="s">
        <v>359</v>
      </c>
    </row>
    <row r="15" spans="1:15" x14ac:dyDescent="0.3">
      <c r="K15" t="s">
        <v>354</v>
      </c>
    </row>
    <row r="16" spans="1:15" x14ac:dyDescent="0.3">
      <c r="K16" t="s">
        <v>353</v>
      </c>
    </row>
    <row r="17" spans="10:12" x14ac:dyDescent="0.3">
      <c r="K17" t="s">
        <v>355</v>
      </c>
    </row>
    <row r="18" spans="10:12" x14ac:dyDescent="0.3">
      <c r="K18" t="s">
        <v>152</v>
      </c>
    </row>
    <row r="19" spans="10:12" x14ac:dyDescent="0.3">
      <c r="K19" t="s">
        <v>360</v>
      </c>
    </row>
    <row r="20" spans="10:12" x14ac:dyDescent="0.3">
      <c r="K20" t="s">
        <v>361</v>
      </c>
    </row>
    <row r="22" spans="10:12" x14ac:dyDescent="0.3">
      <c r="J22" t="s">
        <v>95</v>
      </c>
      <c r="K22">
        <v>4</v>
      </c>
      <c r="L22" t="s">
        <v>370</v>
      </c>
    </row>
    <row r="23" spans="10:12" x14ac:dyDescent="0.3">
      <c r="J23" t="s">
        <v>374</v>
      </c>
      <c r="K23">
        <v>5</v>
      </c>
      <c r="L23" t="s">
        <v>371</v>
      </c>
    </row>
    <row r="24" spans="10:12" x14ac:dyDescent="0.3">
      <c r="K24">
        <v>6</v>
      </c>
      <c r="L24" t="s">
        <v>372</v>
      </c>
    </row>
    <row r="25" spans="10:12" x14ac:dyDescent="0.3">
      <c r="K25">
        <v>7</v>
      </c>
      <c r="L25" t="s">
        <v>373</v>
      </c>
    </row>
    <row r="26" spans="10:12" x14ac:dyDescent="0.3">
      <c r="K26">
        <v>8</v>
      </c>
      <c r="L26" t="s">
        <v>360</v>
      </c>
    </row>
    <row r="27" spans="10:12" x14ac:dyDescent="0.3">
      <c r="K27">
        <v>9</v>
      </c>
      <c r="L27" t="s">
        <v>361</v>
      </c>
    </row>
    <row r="29" spans="10:12" x14ac:dyDescent="0.3">
      <c r="J29" t="s">
        <v>375</v>
      </c>
    </row>
    <row r="30" spans="10:12" x14ac:dyDescent="0.3">
      <c r="K30" t="s">
        <v>100</v>
      </c>
    </row>
    <row r="31" spans="10:12" x14ac:dyDescent="0.3">
      <c r="K31" t="s">
        <v>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88718-9224-4FFC-B49B-287D2C461EAA}">
  <dimension ref="A2:N38"/>
  <sheetViews>
    <sheetView topLeftCell="A19" workbookViewId="0">
      <selection activeCell="N38" sqref="N38:P38"/>
    </sheetView>
  </sheetViews>
  <sheetFormatPr baseColWidth="10" defaultRowHeight="14.4" x14ac:dyDescent="0.3"/>
  <cols>
    <col min="12" max="12" width="14.33203125" customWidth="1"/>
  </cols>
  <sheetData>
    <row r="2" spans="12:13" x14ac:dyDescent="0.3">
      <c r="L2" s="19"/>
    </row>
    <row r="3" spans="12:13" x14ac:dyDescent="0.3">
      <c r="L3" t="s">
        <v>449</v>
      </c>
    </row>
    <row r="6" spans="12:13" x14ac:dyDescent="0.3">
      <c r="L6" s="20" t="s">
        <v>455</v>
      </c>
    </row>
    <row r="7" spans="12:13" x14ac:dyDescent="0.3">
      <c r="L7" s="12" t="s">
        <v>450</v>
      </c>
    </row>
    <row r="8" spans="12:13" x14ac:dyDescent="0.3">
      <c r="L8" s="12" t="s">
        <v>133</v>
      </c>
    </row>
    <row r="9" spans="12:13" x14ac:dyDescent="0.3">
      <c r="L9" s="12" t="s">
        <v>458</v>
      </c>
    </row>
    <row r="10" spans="12:13" x14ac:dyDescent="0.3">
      <c r="L10" s="12" t="s">
        <v>250</v>
      </c>
    </row>
    <row r="11" spans="12:13" x14ac:dyDescent="0.3">
      <c r="L11" s="12" t="s">
        <v>452</v>
      </c>
    </row>
    <row r="12" spans="12:13" x14ac:dyDescent="0.3">
      <c r="L12" t="s">
        <v>456</v>
      </c>
    </row>
    <row r="13" spans="12:13" x14ac:dyDescent="0.3">
      <c r="L13" t="s">
        <v>457</v>
      </c>
    </row>
    <row r="14" spans="12:13" x14ac:dyDescent="0.3">
      <c r="L14" s="12" t="s">
        <v>459</v>
      </c>
    </row>
    <row r="15" spans="12:13" x14ac:dyDescent="0.3">
      <c r="L15" t="s">
        <v>453</v>
      </c>
      <c r="M15" t="s">
        <v>454</v>
      </c>
    </row>
    <row r="17" spans="1:14" x14ac:dyDescent="0.3">
      <c r="L17" t="s">
        <v>460</v>
      </c>
      <c r="M17" t="s">
        <v>462</v>
      </c>
    </row>
    <row r="18" spans="1:14" x14ac:dyDescent="0.3">
      <c r="L18" t="s">
        <v>461</v>
      </c>
      <c r="M18" t="s">
        <v>462</v>
      </c>
    </row>
    <row r="19" spans="1:14" x14ac:dyDescent="0.3">
      <c r="L19" t="s">
        <v>463</v>
      </c>
      <c r="M19" t="s">
        <v>464</v>
      </c>
    </row>
    <row r="20" spans="1:14" x14ac:dyDescent="0.3">
      <c r="L20" t="s">
        <v>465</v>
      </c>
      <c r="M20" t="s">
        <v>121</v>
      </c>
    </row>
    <row r="21" spans="1:14" x14ac:dyDescent="0.3">
      <c r="L21" t="s">
        <v>466</v>
      </c>
      <c r="M21" t="s">
        <v>467</v>
      </c>
    </row>
    <row r="22" spans="1:14" x14ac:dyDescent="0.3">
      <c r="L22" t="s">
        <v>468</v>
      </c>
      <c r="M22" t="s">
        <v>262</v>
      </c>
    </row>
    <row r="23" spans="1:14" x14ac:dyDescent="0.3">
      <c r="L23" t="s">
        <v>469</v>
      </c>
      <c r="M23" t="s">
        <v>262</v>
      </c>
    </row>
    <row r="24" spans="1:14" x14ac:dyDescent="0.3">
      <c r="L24" t="s">
        <v>470</v>
      </c>
      <c r="M24" t="s">
        <v>467</v>
      </c>
    </row>
    <row r="25" spans="1:14" x14ac:dyDescent="0.3">
      <c r="L25" t="s">
        <v>471</v>
      </c>
      <c r="M25" t="s">
        <v>472</v>
      </c>
    </row>
    <row r="27" spans="1:14" x14ac:dyDescent="0.3">
      <c r="A27" t="s">
        <v>451</v>
      </c>
    </row>
    <row r="28" spans="1:14" x14ac:dyDescent="0.3">
      <c r="L28" t="s">
        <v>473</v>
      </c>
      <c r="N28" t="s">
        <v>478</v>
      </c>
    </row>
    <row r="29" spans="1:14" x14ac:dyDescent="0.3">
      <c r="L29" t="s">
        <v>474</v>
      </c>
      <c r="M29" t="s">
        <v>475</v>
      </c>
    </row>
    <row r="30" spans="1:14" x14ac:dyDescent="0.3">
      <c r="B30" s="20" t="s">
        <v>486</v>
      </c>
      <c r="L30" t="s">
        <v>476</v>
      </c>
      <c r="N30" t="s">
        <v>477</v>
      </c>
    </row>
    <row r="31" spans="1:14" x14ac:dyDescent="0.3">
      <c r="B31" t="s">
        <v>482</v>
      </c>
    </row>
    <row r="32" spans="1:14" x14ac:dyDescent="0.3">
      <c r="B32" t="s">
        <v>483</v>
      </c>
      <c r="L32" t="s">
        <v>479</v>
      </c>
    </row>
    <row r="33" spans="2:13" x14ac:dyDescent="0.3">
      <c r="B33" t="s">
        <v>484</v>
      </c>
    </row>
    <row r="34" spans="2:13" x14ac:dyDescent="0.3">
      <c r="B34" t="s">
        <v>485</v>
      </c>
      <c r="L34" t="s">
        <v>480</v>
      </c>
    </row>
    <row r="36" spans="2:13" x14ac:dyDescent="0.3">
      <c r="L36" t="s">
        <v>481</v>
      </c>
    </row>
    <row r="37" spans="2:13" x14ac:dyDescent="0.3">
      <c r="L37" t="s">
        <v>260</v>
      </c>
      <c r="M37">
        <v>37579</v>
      </c>
    </row>
    <row r="38" spans="2:13" x14ac:dyDescent="0.3">
      <c r="L38" t="s">
        <v>99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3D874-0B88-468D-A52D-4B46DC3D2861}">
  <dimension ref="A1:N21"/>
  <sheetViews>
    <sheetView workbookViewId="0">
      <selection activeCell="C25" sqref="C25"/>
    </sheetView>
  </sheetViews>
  <sheetFormatPr baseColWidth="10" defaultRowHeight="14.4" x14ac:dyDescent="0.3"/>
  <sheetData>
    <row r="1" spans="1:14" x14ac:dyDescent="0.3">
      <c r="A1" t="s">
        <v>489</v>
      </c>
    </row>
    <row r="2" spans="1:14" x14ac:dyDescent="0.3">
      <c r="B2" s="12" t="s">
        <v>494</v>
      </c>
      <c r="C2" s="12"/>
      <c r="D2" s="12"/>
    </row>
    <row r="4" spans="1:14" x14ac:dyDescent="0.3">
      <c r="B4" s="12" t="s">
        <v>495</v>
      </c>
      <c r="C4" s="12"/>
      <c r="D4" s="12"/>
      <c r="E4" s="12"/>
      <c r="F4" s="12"/>
      <c r="G4" s="12"/>
      <c r="H4" s="12"/>
      <c r="I4" s="12"/>
    </row>
    <row r="6" spans="1:14" x14ac:dyDescent="0.3">
      <c r="B6" t="s">
        <v>496</v>
      </c>
    </row>
    <row r="8" spans="1:14" x14ac:dyDescent="0.3">
      <c r="B8" t="s">
        <v>497</v>
      </c>
    </row>
    <row r="10" spans="1:14" x14ac:dyDescent="0.3">
      <c r="B10" t="s">
        <v>493</v>
      </c>
    </row>
    <row r="11" spans="1:14" ht="15" thickBot="1" x14ac:dyDescent="0.35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</row>
    <row r="13" spans="1:14" x14ac:dyDescent="0.3">
      <c r="B13" t="s">
        <v>350</v>
      </c>
      <c r="C13" t="s">
        <v>491</v>
      </c>
      <c r="D13" t="s">
        <v>490</v>
      </c>
    </row>
    <row r="14" spans="1:14" x14ac:dyDescent="0.3">
      <c r="D14" t="s">
        <v>492</v>
      </c>
    </row>
    <row r="15" spans="1:14" ht="15" thickBot="1" x14ac:dyDescent="0.3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7" spans="2:3" x14ac:dyDescent="0.3">
      <c r="B17" t="s">
        <v>351</v>
      </c>
      <c r="C17" t="s">
        <v>498</v>
      </c>
    </row>
    <row r="18" spans="2:3" x14ac:dyDescent="0.3">
      <c r="C18" t="s">
        <v>499</v>
      </c>
    </row>
    <row r="19" spans="2:3" x14ac:dyDescent="0.3">
      <c r="C19" t="s">
        <v>500</v>
      </c>
    </row>
    <row r="20" spans="2:3" x14ac:dyDescent="0.3">
      <c r="C20" t="s">
        <v>501</v>
      </c>
    </row>
    <row r="21" spans="2:3" x14ac:dyDescent="0.3">
      <c r="C21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Hoja2</vt:lpstr>
      <vt:lpstr>Hoja3</vt:lpstr>
      <vt:lpstr>Hoja4</vt:lpstr>
      <vt:lpstr>Reclamos</vt:lpstr>
      <vt:lpstr>Flutter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Nuñez</dc:creator>
  <cp:lastModifiedBy>Luis Nuñez</cp:lastModifiedBy>
  <dcterms:created xsi:type="dcterms:W3CDTF">2021-08-05T13:00:45Z</dcterms:created>
  <dcterms:modified xsi:type="dcterms:W3CDTF">2022-06-03T14:02:41Z</dcterms:modified>
</cp:coreProperties>
</file>